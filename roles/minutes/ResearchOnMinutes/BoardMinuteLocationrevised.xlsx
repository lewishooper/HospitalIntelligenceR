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13_ncr:1_{8910A50E-30E3-49EB-938F-7B6C7B802A79}" xr6:coauthVersionLast="47" xr6:coauthVersionMax="47" xr10:uidLastSave="{00000000-0000-0000-0000-000000000000}"/>
  <bookViews>
    <workbookView xWindow="-90" yWindow="0" windowWidth="11880" windowHeight="15370" xr2:uid="{00000000-000D-0000-FFFF-FFFF00000000}"/>
  </bookViews>
  <sheets>
    <sheet name="Board Minutes Reconnaissance" sheetId="1" r:id="rId1"/>
    <sheet name="Legend" sheetId="2" r:id="rId2"/>
    <sheet name="bp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2" i="1"/>
  <c r="I140" i="1" l="1"/>
  <c r="E143" i="1" s="1"/>
  <c r="J140" i="1"/>
  <c r="E142" i="1" l="1"/>
</calcChain>
</file>

<file path=xl/sharedStrings.xml><?xml version="1.0" encoding="utf-8"?>
<sst xmlns="http://schemas.openxmlformats.org/spreadsheetml/2006/main" count="876" uniqueCount="578">
  <si>
    <t>FAC</t>
  </si>
  <si>
    <t>Hospital Name</t>
  </si>
  <si>
    <t>Hospital Group</t>
  </si>
  <si>
    <t>Base URL</t>
  </si>
  <si>
    <t>Minutes Found (Y/N)</t>
  </si>
  <si>
    <t>Minutes URL</t>
  </si>
  <si>
    <t>Notes</t>
  </si>
  <si>
    <t>674</t>
  </si>
  <si>
    <t>HAMILTON ST JOSEPH'S</t>
  </si>
  <si>
    <t>Teaching</t>
  </si>
  <si>
    <t>https://www.stjoes.ca</t>
  </si>
  <si>
    <t>753</t>
  </si>
  <si>
    <t>OTTAWA MONTFORT</t>
  </si>
  <si>
    <t>https://hopitalmontfort.com</t>
  </si>
  <si>
    <t>958</t>
  </si>
  <si>
    <t>OTTAWA THE OTTAWA HOSPITAL</t>
  </si>
  <si>
    <t>https://www.ottawahospital.on.ca</t>
  </si>
  <si>
    <t>699</t>
  </si>
  <si>
    <t>WRHN-KITCHENER ST MARY'S</t>
  </si>
  <si>
    <t>Community Large</t>
  </si>
  <si>
    <t>https://www.smgh.ca</t>
  </si>
  <si>
    <t>707</t>
  </si>
  <si>
    <t>Ross Memorial Hospital</t>
  </si>
  <si>
    <t>https://rmh.org</t>
  </si>
  <si>
    <t>771</t>
  </si>
  <si>
    <t>777</t>
  </si>
  <si>
    <t>Queensway Carleton Hospital</t>
  </si>
  <si>
    <t>https://www.qch.on.ca</t>
  </si>
  <si>
    <t>804</t>
  </si>
  <si>
    <t>SIMCOE NORFOLK GENERAL</t>
  </si>
  <si>
    <t>https://www.ngh.on.ca</t>
  </si>
  <si>
    <t>952</t>
  </si>
  <si>
    <t>Lakeridge Health</t>
  </si>
  <si>
    <t>https://www.lh.ca</t>
  </si>
  <si>
    <t>974</t>
  </si>
  <si>
    <t>NORTH BAY NORTH BAY REGIONAL HC</t>
  </si>
  <si>
    <t>https://nbrhc.on.ca</t>
  </si>
  <si>
    <t>593</t>
  </si>
  <si>
    <t>Middlesex Hospital Alliance NEWBURY FOUR COUNTIES HEALTH SERV.</t>
  </si>
  <si>
    <t>Community Small</t>
  </si>
  <si>
    <t>https://mhalliance.on.ca</t>
  </si>
  <si>
    <t>596</t>
  </si>
  <si>
    <t>Alliston Stevenson Memorial Hospital</t>
  </si>
  <si>
    <t>https://www.stevensonhospital.ca</t>
  </si>
  <si>
    <t>611</t>
  </si>
  <si>
    <t>BLIND RIVER NORTH SHORE HN</t>
  </si>
  <si>
    <t>https://www.nshn.care</t>
  </si>
  <si>
    <t>648</t>
  </si>
  <si>
    <t>DUNNVILLE HALDIMAND WAR MEMORIAL</t>
  </si>
  <si>
    <t>https://www.hwmh.ca</t>
  </si>
  <si>
    <t>650</t>
  </si>
  <si>
    <t>ELLIOT LAKE ST JOSEPH'S</t>
  </si>
  <si>
    <t>https://sjghel.ca</t>
  </si>
  <si>
    <t>686</t>
  </si>
  <si>
    <t>WAWA LADY DUNN HC</t>
  </si>
  <si>
    <t>https://ldhc.com</t>
  </si>
  <si>
    <t>768</t>
  </si>
  <si>
    <t>BARRYS BAY ST FRANCIS</t>
  </si>
  <si>
    <t>https://www.sfmhosp.com</t>
  </si>
  <si>
    <t>977</t>
  </si>
  <si>
    <t>TERRACE BAY NORTH OF SUPERIOR HC</t>
  </si>
  <si>
    <t>https://www.nosh.ca</t>
  </si>
  <si>
    <t>939</t>
  </si>
  <si>
    <t>TORONTO HOLLAND BLOORVIEW KIDS</t>
  </si>
  <si>
    <t>Specialty</t>
  </si>
  <si>
    <t>https://hollandbloorview.ca</t>
  </si>
  <si>
    <t>948</t>
  </si>
  <si>
    <t>TORONTO ADDICTION &amp; MENTAL HEALTH</t>
  </si>
  <si>
    <t>https://www.camh.ca</t>
  </si>
  <si>
    <t>Legend</t>
  </si>
  <si>
    <t>Sample</t>
  </si>
  <si>
    <t>Stratified random sample (seed=42): Teaching 3, Community Large 7, Community Small 8, Specialty 2</t>
  </si>
  <si>
    <t>Minutes Found</t>
  </si>
  <si>
    <t>Y = minutes found at a publicly accessible URL; N = not found; P = partial (summaries only)</t>
  </si>
  <si>
    <t>Record format (PDF links page / document library / embedded viewer), depth of backlog (approx years), any access barriers</t>
  </si>
  <si>
    <t>Teaching color</t>
  </si>
  <si>
    <t>#D4C5F0 (light purple)</t>
  </si>
  <si>
    <t>Community Large color</t>
  </si>
  <si>
    <t>#C5E8DE (light teal)</t>
  </si>
  <si>
    <t>Community Small color</t>
  </si>
  <si>
    <t>#FAD9C0 (light orange)</t>
  </si>
  <si>
    <t>Specialty color</t>
  </si>
  <si>
    <t>#D6EDBB (light green)</t>
  </si>
  <si>
    <t>n</t>
  </si>
  <si>
    <t>Note saying aviable on request</t>
  </si>
  <si>
    <t>y</t>
  </si>
  <si>
    <t>pdf ended in 2024 with supervisor</t>
  </si>
  <si>
    <t>5+years pdf format</t>
  </si>
  <si>
    <t>5+ pdf</t>
  </si>
  <si>
    <t>going back 5 years stopped in2025, [df</t>
  </si>
  <si>
    <t>Multiple years stopped in 2025,pdf</t>
  </si>
  <si>
    <t>942</t>
  </si>
  <si>
    <t>Hamilton Health Sciences</t>
  </si>
  <si>
    <t>hamiltonhealthsciences.ca</t>
  </si>
  <si>
    <t>953</t>
  </si>
  <si>
    <t>Sunnybrook Health Sciences Centre</t>
  </si>
  <si>
    <t>sunnybrook.ca</t>
  </si>
  <si>
    <t>The Ottawa Hospital</t>
  </si>
  <si>
    <t>ottawahospital.on.ca</t>
  </si>
  <si>
    <t>978</t>
  </si>
  <si>
    <t>Kingston Health Sciences Centre</t>
  </si>
  <si>
    <t>kingstonhsc.ca</t>
  </si>
  <si>
    <t>606</t>
  </si>
  <si>
    <t>Barrie Royal Victoria Regional HC</t>
  </si>
  <si>
    <t>rvh.on.ca</t>
  </si>
  <si>
    <t>661</t>
  </si>
  <si>
    <t>Cambridge Memorial Hospital</t>
  </si>
  <si>
    <t>cmh.org</t>
  </si>
  <si>
    <t>701</t>
  </si>
  <si>
    <t>Mackenzie Health (Richmond Hill)</t>
  </si>
  <si>
    <t>mackenziehealth.ca</t>
  </si>
  <si>
    <t>736</t>
  </si>
  <si>
    <t>Southlake Regional (Newmarket)</t>
  </si>
  <si>
    <t>southlake.ca</t>
  </si>
  <si>
    <t>Peterborough Regional Health Centre</t>
  </si>
  <si>
    <t>prhc.on.ca</t>
  </si>
  <si>
    <t>858</t>
  </si>
  <si>
    <t>Michael Garron Hospital (Toronto East)</t>
  </si>
  <si>
    <t>tehn.ca</t>
  </si>
  <si>
    <t>941</t>
  </si>
  <si>
    <t>Humber River Hospital</t>
  </si>
  <si>
    <t>hrh.ca</t>
  </si>
  <si>
    <t>975</t>
  </si>
  <si>
    <t>Trillium Health Partners</t>
  </si>
  <si>
    <t>thp.ca</t>
  </si>
  <si>
    <t>597</t>
  </si>
  <si>
    <t>Almonte General</t>
  </si>
  <si>
    <t>mrha.ca</t>
  </si>
  <si>
    <t>647</t>
  </si>
  <si>
    <t>Dryden Regional Health Centre</t>
  </si>
  <si>
    <t>drhc.on.ca</t>
  </si>
  <si>
    <t>665</t>
  </si>
  <si>
    <t>Guelph St. Josephs Health Centre</t>
  </si>
  <si>
    <t>sjhcg.ca</t>
  </si>
  <si>
    <t>788</t>
  </si>
  <si>
    <t>Renfrew Victoria Hospital</t>
  </si>
  <si>
    <t>renfrewhosp.com</t>
  </si>
  <si>
    <t>826</t>
  </si>
  <si>
    <t>Kenora Lake of the Woods District</t>
  </si>
  <si>
    <t>lwdh.on.ca</t>
  </si>
  <si>
    <t>938</t>
  </si>
  <si>
    <t>Haliburton Highlands Health Services</t>
  </si>
  <si>
    <t>hhhs.ca</t>
  </si>
  <si>
    <t>651</t>
  </si>
  <si>
    <t>The Royal Ottawa (Psychiatry)</t>
  </si>
  <si>
    <t>theroyal.ca</t>
  </si>
  <si>
    <t>827</t>
  </si>
  <si>
    <t>Baycrest Centre for Geriatric Care</t>
  </si>
  <si>
    <t>baycrest.org</t>
  </si>
  <si>
    <t xml:space="preserve">5+ years pdf </t>
  </si>
  <si>
    <t>Downloads as PDF 5+years stops at 2025</t>
  </si>
  <si>
    <t>2 years pdf</t>
  </si>
  <si>
    <t>3yr pdf ens 2025</t>
  </si>
  <si>
    <t>summaries only 5+ years</t>
  </si>
  <si>
    <t>Summaries but failrly detailed. 5+ year</t>
  </si>
  <si>
    <t>Agendas and motions only no detail</t>
  </si>
  <si>
    <t>Y</t>
  </si>
  <si>
    <t>pdf 5+ years ends in  2024</t>
  </si>
  <si>
    <t>pdf, multi year, NOTE partnership hospital; with overlap to old hospita;</t>
  </si>
  <si>
    <t>r/uparm post coffee</t>
  </si>
  <si>
    <t>Previously available withdrawn when supervisor appointed</t>
  </si>
  <si>
    <t>format says pdf but seems to be html?</t>
  </si>
  <si>
    <t>2yr PDF</t>
  </si>
  <si>
    <t>592</t>
  </si>
  <si>
    <t>NAPANEE LENNOX &amp; ADDINGTON</t>
  </si>
  <si>
    <t>Community — Small</t>
  </si>
  <si>
    <t>https://lacgh.napanee.on.ca</t>
  </si>
  <si>
    <t>599</t>
  </si>
  <si>
    <t>ARNPRIOR &amp; DISTRICT MEMORIAL</t>
  </si>
  <si>
    <t>https://www.arnpriorregionalhealth.ca</t>
  </si>
  <si>
    <t>619</t>
  </si>
  <si>
    <t>BROCKVILLE GENERAL</t>
  </si>
  <si>
    <t>Community — Large</t>
  </si>
  <si>
    <t>https://www.brockvillegeneralhospital.ca</t>
  </si>
  <si>
    <t>624</t>
  </si>
  <si>
    <t>Campbellford Memorial Hospital</t>
  </si>
  <si>
    <t>https://cmh.ca</t>
  </si>
  <si>
    <t>626</t>
  </si>
  <si>
    <t xml:space="preserve">MRHA CARLETON PLACE &amp; DISTRICT </t>
  </si>
  <si>
    <t>https://www.mrha.ca</t>
  </si>
  <si>
    <t>627</t>
  </si>
  <si>
    <t>CHAPLEAU SER DE SANTÉ DE CHAPLEAU</t>
  </si>
  <si>
    <t>https://www.sschs.ca</t>
  </si>
  <si>
    <t>632</t>
  </si>
  <si>
    <t>North York General Hospital</t>
  </si>
  <si>
    <t>https://www.nygh.on.ca</t>
  </si>
  <si>
    <t>638</t>
  </si>
  <si>
    <t>MICS GROUP COCHRANE LADY MINTO</t>
  </si>
  <si>
    <t>https://www.micsgroup.com</t>
  </si>
  <si>
    <t>640</t>
  </si>
  <si>
    <t>COLLINGWOOD GENERAL AND MARINE HOSP</t>
  </si>
  <si>
    <t>https://cgmh.on.ca</t>
  </si>
  <si>
    <t>644</t>
  </si>
  <si>
    <t>Cornwall Hospital  CORNWALL HOTEL DIEU</t>
  </si>
  <si>
    <t>https://www.cornwallhospital.ca</t>
  </si>
  <si>
    <t>646</t>
  </si>
  <si>
    <t>DEEP RIVER AND DISTRICT</t>
  </si>
  <si>
    <t>https://www.drdh.org</t>
  </si>
  <si>
    <t>653</t>
  </si>
  <si>
    <t>Blanche River ENGLEHART &amp; DISTRICT</t>
  </si>
  <si>
    <t>https://www.blancheriverhealth.ca</t>
  </si>
  <si>
    <t>654</t>
  </si>
  <si>
    <t>ESPANOLA GENERAL</t>
  </si>
  <si>
    <t>https://espanolaregionalhospital.ca</t>
  </si>
  <si>
    <t>655</t>
  </si>
  <si>
    <t>Huron Health EXETER SOUTH HURON</t>
  </si>
  <si>
    <t>https://www.huronhealthsystem.ca</t>
  </si>
  <si>
    <t>656</t>
  </si>
  <si>
    <t xml:space="preserve">WHCA Grove community hospital </t>
  </si>
  <si>
    <t>https://gmch.whca.ca</t>
  </si>
  <si>
    <t>662</t>
  </si>
  <si>
    <t>GERALDTON DISTRICT HOSPITAL</t>
  </si>
  <si>
    <t>https://www.geraldtondh.com</t>
  </si>
  <si>
    <t>663</t>
  </si>
  <si>
    <t>Huron HealthGODERICH ALEXANDRA MARINE &amp; GEN</t>
  </si>
  <si>
    <t>666</t>
  </si>
  <si>
    <t>GUELPH ST JOSEPH'S HEALTH CENTRE</t>
  </si>
  <si>
    <t>https://www.sjhcg.ca</t>
  </si>
  <si>
    <t>676</t>
  </si>
  <si>
    <t>HANOVER &amp; DISTRICT</t>
  </si>
  <si>
    <t>https://www.hanoverhospital.on.ca</t>
  </si>
  <si>
    <t>681</t>
  </si>
  <si>
    <t>HEARST NOTRE DAME</t>
  </si>
  <si>
    <t>https://www.ndh.on.ca</t>
  </si>
  <si>
    <t>682</t>
  </si>
  <si>
    <t>HORNEPAYNE COMMUNITY</t>
  </si>
  <si>
    <t>https://www.hornepaynecommunityhospital.ca</t>
  </si>
  <si>
    <t>684</t>
  </si>
  <si>
    <t>Rural Roads Health servcies INGERSOLL ALEXANDRA</t>
  </si>
  <si>
    <t>https://www.ruralroadshealthservices.ca</t>
  </si>
  <si>
    <t>685</t>
  </si>
  <si>
    <t>MICS Group IROQUOIS FALLS ANSON GENERAL</t>
  </si>
  <si>
    <t>695</t>
  </si>
  <si>
    <t>KINGSTON PROVIDENCE CARE HOSPITAL</t>
  </si>
  <si>
    <t>https://providencecare.ca</t>
  </si>
  <si>
    <t>696</t>
  </si>
  <si>
    <t>KIRKLAND &amp; DISTRICT</t>
  </si>
  <si>
    <t>704</t>
  </si>
  <si>
    <t>Erie Shores Leamington</t>
  </si>
  <si>
    <t>https://www.erieshoreshealthcare.ca</t>
  </si>
  <si>
    <t>709</t>
  </si>
  <si>
    <t>Listowel Wingham LISTOWEL MEMORIAL</t>
  </si>
  <si>
    <t>https://lwha.ca</t>
  </si>
  <si>
    <t>714</t>
  </si>
  <si>
    <t>LONDON ST JOSEPHS</t>
  </si>
  <si>
    <t>https://www.sjhc.london.on.ca</t>
  </si>
  <si>
    <t>718</t>
  </si>
  <si>
    <t>BURLINGTON JOSEPH BRANT HOSPITAL</t>
  </si>
  <si>
    <t>https://www.josephbranthospital.ca</t>
  </si>
  <si>
    <t>719</t>
  </si>
  <si>
    <t>MANITOUWADGE SANTE MANITOUWADGE</t>
  </si>
  <si>
    <t>https://www.mh.on.ca</t>
  </si>
  <si>
    <t>723</t>
  </si>
  <si>
    <t>MATHESON BINGHAM MEMORIAL</t>
  </si>
  <si>
    <t>724</t>
  </si>
  <si>
    <t>MATTAWA GENERAL</t>
  </si>
  <si>
    <t>https://www.mattawahealth.ca</t>
  </si>
  <si>
    <t>726</t>
  </si>
  <si>
    <t>MIDLAND GEORGIAN BAY</t>
  </si>
  <si>
    <t>https://gbgh.on.ca</t>
  </si>
  <si>
    <t>732</t>
  </si>
  <si>
    <t>KEMPTVILLE DISTRICT</t>
  </si>
  <si>
    <t>https://kdh.on.ca</t>
  </si>
  <si>
    <t>734</t>
  </si>
  <si>
    <t>HALDIMAND WEST HALDIMAND GENERAL</t>
  </si>
  <si>
    <t>https://www.whgh.ca</t>
  </si>
  <si>
    <t>739</t>
  </si>
  <si>
    <t>NIPIGON DISTRICT MEMORIAL</t>
  </si>
  <si>
    <t>https://www.ndmh.ca</t>
  </si>
  <si>
    <t>745</t>
  </si>
  <si>
    <t>ORILLIA SOLDIERS' MEMORIAL</t>
  </si>
  <si>
    <t>https://www.osmh.on.ca</t>
  </si>
  <si>
    <t>751</t>
  </si>
  <si>
    <t>OTTAWA CHEO CTC</t>
  </si>
  <si>
    <t>https://www.cheo.on.ca</t>
  </si>
  <si>
    <t>763</t>
  </si>
  <si>
    <t>PEMBROKE REGIONAL</t>
  </si>
  <si>
    <t>https://www.pemreghos.org</t>
  </si>
  <si>
    <t>781</t>
  </si>
  <si>
    <t>THUNDER BAY ST. JOSEPH'S</t>
  </si>
  <si>
    <t>https://sjcg.net</t>
  </si>
  <si>
    <t>784</t>
  </si>
  <si>
    <t>LITTLE CURRENT MANITOULIN</t>
  </si>
  <si>
    <t>https://www.mhc.on.ca</t>
  </si>
  <si>
    <t>790</t>
  </si>
  <si>
    <t>ST CATHARINES HOTEL DIEU</t>
  </si>
  <si>
    <t>https://www.hoteldieushaver.org</t>
  </si>
  <si>
    <t>793</t>
  </si>
  <si>
    <t>ST THOMAS ELGIN GENERAL</t>
  </si>
  <si>
    <t>https://www.stegh.on.ca</t>
  </si>
  <si>
    <t>800</t>
  </si>
  <si>
    <t>HAWKESBURY &amp; DISTRICT GENERAL</t>
  </si>
  <si>
    <t>https://hgh.ca</t>
  </si>
  <si>
    <t>802</t>
  </si>
  <si>
    <t>ALEXANDRIA GLENGARRY</t>
  </si>
  <si>
    <t>https://www.hgmh.on.ca</t>
  </si>
  <si>
    <t>809</t>
  </si>
  <si>
    <t>SMOOTH ROCK FALLS</t>
  </si>
  <si>
    <t>https://www.srfhosp.ca</t>
  </si>
  <si>
    <t>813</t>
  </si>
  <si>
    <t>STRATFORD GENERAL</t>
  </si>
  <si>
    <t>https://www.hpha.ca</t>
  </si>
  <si>
    <t>814</t>
  </si>
  <si>
    <t>Middlesex Hosptial Alliance  STRATHROY MIDDLESEX GENERAL</t>
  </si>
  <si>
    <t>824</t>
  </si>
  <si>
    <t>Rural Roads Health Services TILLSONBURG DISTRICT MEMORIAL</t>
  </si>
  <si>
    <t>837</t>
  </si>
  <si>
    <t>TORONTO HOSPITAL FOR SICK CHILDREN</t>
  </si>
  <si>
    <t>https://www.sickkids.ca</t>
  </si>
  <si>
    <t>850</t>
  </si>
  <si>
    <t>TORONTO RUNNYMEDE HC</t>
  </si>
  <si>
    <t>https://runnymedehc.ca</t>
  </si>
  <si>
    <t>854</t>
  </si>
  <si>
    <t>TORONTO SA GRACE</t>
  </si>
  <si>
    <t>https://www.torontograce.org</t>
  </si>
  <si>
    <t>862</t>
  </si>
  <si>
    <t>TORONTO WOMENS COLLEGE</t>
  </si>
  <si>
    <t>https://www.womenscollegehospital.ca</t>
  </si>
  <si>
    <t>881</t>
  </si>
  <si>
    <t>STURGEON FALLS WEST NIPISSING</t>
  </si>
  <si>
    <t>https://www.wngh.ca</t>
  </si>
  <si>
    <t>882</t>
  </si>
  <si>
    <t>WINCHESTER DISTRICT MEMORIAL</t>
  </si>
  <si>
    <t>https://www.wdmh.on.ca</t>
  </si>
  <si>
    <t>888</t>
  </si>
  <si>
    <t>NEW LISKEARD TEMISKAMING HOSPITAL</t>
  </si>
  <si>
    <t>https://www.temiskaming-hospital.com</t>
  </si>
  <si>
    <t>889</t>
  </si>
  <si>
    <t>WINGHAM &amp; DISTRICT</t>
  </si>
  <si>
    <t>890</t>
  </si>
  <si>
    <t>WOODSTOCK WOODSTOCK HOSPITAL</t>
  </si>
  <si>
    <t>https://www.woodstockhospital.ca</t>
  </si>
  <si>
    <t>896</t>
  </si>
  <si>
    <t>RED LAKE MARG COCHENOUR MEMORIAL</t>
  </si>
  <si>
    <t>https://www.redlakehospital.ca</t>
  </si>
  <si>
    <t>900</t>
  </si>
  <si>
    <t>FORT FRANCES RIVERSIDE HEALTH CARE</t>
  </si>
  <si>
    <t>https://riversidehealthcare.ca</t>
  </si>
  <si>
    <t>905</t>
  </si>
  <si>
    <t>OAK VALLEY HEALTH</t>
  </si>
  <si>
    <t>https://www.oakvalleyhealth.ca</t>
  </si>
  <si>
    <t>907</t>
  </si>
  <si>
    <t>TIMMINS &amp; DISTRICT GENERAL</t>
  </si>
  <si>
    <t>https://tadh.com</t>
  </si>
  <si>
    <t>910</t>
  </si>
  <si>
    <t>TORONTO CASEY HOUSE</t>
  </si>
  <si>
    <t>https://caseyhouse.ca</t>
  </si>
  <si>
    <t>916</t>
  </si>
  <si>
    <t>HEADWATERS</t>
  </si>
  <si>
    <t>https://www.headwatershealth.ca</t>
  </si>
  <si>
    <t>927</t>
  </si>
  <si>
    <t>Windsor Hotel Dieu Grace</t>
  </si>
  <si>
    <t>https://www.hdgh.org</t>
  </si>
  <si>
    <t>928</t>
  </si>
  <si>
    <t>PERTH SMITHS FALLS</t>
  </si>
  <si>
    <t>https://psfdh.on.ca</t>
  </si>
  <si>
    <t>930</t>
  </si>
  <si>
    <t>WRHN-KITCHENER GRAND RIVER</t>
  </si>
  <si>
    <t>931</t>
  </si>
  <si>
    <t>PARRY SOUND WEST PARRY SOUND</t>
  </si>
  <si>
    <t>https://www.wpshc.com</t>
  </si>
  <si>
    <t>932</t>
  </si>
  <si>
    <t>Elizabeth Bruyere Hospital</t>
  </si>
  <si>
    <t>https://www.bruyere.org</t>
  </si>
  <si>
    <t>933</t>
  </si>
  <si>
    <t>WINDSOR REGIONAL HOSPITAL</t>
  </si>
  <si>
    <t>https://www.wrh.on.ca</t>
  </si>
  <si>
    <t>935</t>
  </si>
  <si>
    <t>Thunder Bay Regional Health Sciences Centre</t>
  </si>
  <si>
    <t>https://tbrhsc.net</t>
  </si>
  <si>
    <t>936</t>
  </si>
  <si>
    <t>LONDON HEALTH SCIENCES</t>
  </si>
  <si>
    <t>https://www.lhsc.on.ca</t>
  </si>
  <si>
    <t>940</t>
  </si>
  <si>
    <t>COBOURG NORTHUMBERLAND HILLS</t>
  </si>
  <si>
    <t>https://nhh.ca</t>
  </si>
  <si>
    <t>946</t>
  </si>
  <si>
    <t>KINCARDINE SOUTH BRUCE GREY</t>
  </si>
  <si>
    <t>https://www.sbghc.on.ca</t>
  </si>
  <si>
    <t>947</t>
  </si>
  <si>
    <t>TORONTO UNIVERSITY HEALTH NETWORK</t>
  </si>
  <si>
    <t>https://www.uhn.ca</t>
  </si>
  <si>
    <t>950</t>
  </si>
  <si>
    <t>HALTON HEALTHCARE</t>
  </si>
  <si>
    <t>https://www.haltonhealthcare.on.ca</t>
  </si>
  <si>
    <t>951</t>
  </si>
  <si>
    <t>BRAMPTON WILLIAM OSLER</t>
  </si>
  <si>
    <t>https://www.williamoslerhs.ca</t>
  </si>
  <si>
    <t>955</t>
  </si>
  <si>
    <t>GREY BRUCE HEALTH SERVICES  Brightshores</t>
  </si>
  <si>
    <t>https://www.brightshores.ca</t>
  </si>
  <si>
    <t>957</t>
  </si>
  <si>
    <t>BELLEVILLE QUINTE HEALTH CARE</t>
  </si>
  <si>
    <t>https://quintehealth.ca</t>
  </si>
  <si>
    <t>959</t>
  </si>
  <si>
    <t>SUDBURY HEALTH SCIENCES NORTH</t>
  </si>
  <si>
    <t>https://hsnsudbury.ca</t>
  </si>
  <si>
    <t>961</t>
  </si>
  <si>
    <t>OTTAWA HEART INSTITUTE</t>
  </si>
  <si>
    <t>https://www.ottawaheart.ca</t>
  </si>
  <si>
    <t>962</t>
  </si>
  <si>
    <t>ST CATHARINES NIAGARA HEALTH SYSTEM</t>
  </si>
  <si>
    <t>https://www.niagarahealth.on.ca</t>
  </si>
  <si>
    <t>963</t>
  </si>
  <si>
    <t>MOUNT FOREST NORTH WELLINGTON HC</t>
  </si>
  <si>
    <t>964</t>
  </si>
  <si>
    <t>SIOUX LOOKOUT MENO-YA-WIN HC</t>
  </si>
  <si>
    <t>https://slmhc.on.ca</t>
  </si>
  <si>
    <t>965</t>
  </si>
  <si>
    <t>SAULT STE MARIE SAULT AREA</t>
  </si>
  <si>
    <t>https://sah.on.ca</t>
  </si>
  <si>
    <t>966</t>
  </si>
  <si>
    <t>SARNIA BLUEWATER HEALTH</t>
  </si>
  <si>
    <t>https://www.bluewaterhealth.ca</t>
  </si>
  <si>
    <t>967</t>
  </si>
  <si>
    <t>CORNWALL COMMUNITY</t>
  </si>
  <si>
    <t>968</t>
  </si>
  <si>
    <t>HUNTSVILLE MUSKOKA ALGONQUIN HC</t>
  </si>
  <si>
    <t>https://www.mahc.ca</t>
  </si>
  <si>
    <t>969</t>
  </si>
  <si>
    <t>WHITBY ONT SHORES CENTRE MH SCIENCE</t>
  </si>
  <si>
    <t>https://www.ontarioshores.ca</t>
  </si>
  <si>
    <t>970</t>
  </si>
  <si>
    <t>Brantford Brant Community</t>
  </si>
  <si>
    <t>https://www.bchsys.org</t>
  </si>
  <si>
    <t>971</t>
  </si>
  <si>
    <t>SUDBURY ST.JOSEPHS CONTINUING CARE</t>
  </si>
  <si>
    <t>https://www.sjsudbury.com</t>
  </si>
  <si>
    <t>972</t>
  </si>
  <si>
    <t>PENETANGUISHENE WAYPOINT</t>
  </si>
  <si>
    <t>https://www.waypointcentre.ca</t>
  </si>
  <si>
    <t>973</t>
  </si>
  <si>
    <t>MOOSE FACTORY WEENEEBAYKO AREA</t>
  </si>
  <si>
    <t>https://www.waha.ca</t>
  </si>
  <si>
    <t>976</t>
  </si>
  <si>
    <t>TORONTO SINAI HEALTH SYSTEM</t>
  </si>
  <si>
    <t>https://www.sinaihealth.ca</t>
  </si>
  <si>
    <t>979</t>
  </si>
  <si>
    <t>TORONTO SCARBOROUGH HEALTH NETWORK</t>
  </si>
  <si>
    <t>https://www.shn.ca</t>
  </si>
  <si>
    <t>980</t>
  </si>
  <si>
    <t>TORONTO UNITY HEALTH TORONTO</t>
  </si>
  <si>
    <t>https://unityhealth.to</t>
  </si>
  <si>
    <t>981</t>
  </si>
  <si>
    <t>CHATHAM CHATHAM-KENT HEALTH ALLIANC</t>
  </si>
  <si>
    <t>https://www.ckha.on.ca</t>
  </si>
  <si>
    <t>982</t>
  </si>
  <si>
    <t>Blanche River Health</t>
  </si>
  <si>
    <t>983</t>
  </si>
  <si>
    <t>HURON PERTH HEALTHCARE ALLIANCE</t>
  </si>
  <si>
    <t>PDF 5+ years ends in  2025</t>
  </si>
  <si>
    <t>N</t>
  </si>
  <si>
    <t>5 yrs mix format agenda and minutes it’s a popup style</t>
  </si>
  <si>
    <t>partnerships with 587</t>
  </si>
  <si>
    <t>Pdf multi year, both board and corporate minutes in 2024</t>
  </si>
  <si>
    <t>Summaries reasonable detail but  no discussion</t>
  </si>
  <si>
    <t>Webpage error</t>
  </si>
  <si>
    <t>searched</t>
  </si>
  <si>
    <t>found</t>
  </si>
  <si>
    <t>success rate</t>
  </si>
  <si>
    <t>completion rate</t>
  </si>
  <si>
    <t xml:space="preserve">Docx 5 years. </t>
  </si>
  <si>
    <t>Pdf Multi year Partnerhospital 662</t>
  </si>
  <si>
    <t>pdf 2 yr</t>
  </si>
  <si>
    <t>Pdf multi year, both board and corporate minutes in 2024 partner 638</t>
  </si>
  <si>
    <t>PDF3 year</t>
  </si>
  <si>
    <t>Now a partner with grandriver</t>
  </si>
  <si>
    <t>agendas only</t>
  </si>
  <si>
    <t>pdf 3+years</t>
  </si>
  <si>
    <t>pdf 1 yr</t>
  </si>
  <si>
    <t>PDF 5+ inconsistant. Some links don't work</t>
  </si>
  <si>
    <t>https://www.mh.on.ca/leadership#accordion-9-3</t>
  </si>
  <si>
    <t>pdf 4+</t>
  </si>
  <si>
    <t>Pdf multi year, both board and corporate minutes in 2024 partner 638,685</t>
  </si>
  <si>
    <t>pdf 4+years</t>
  </si>
  <si>
    <t>available on request swatson@cheo.on.ca</t>
  </si>
  <si>
    <t>https://sjcg.net/aboutus/board-of-directors/main.aspx#minutes</t>
  </si>
  <si>
    <t>pdf 2+yr</t>
  </si>
  <si>
    <t>pdf 2+yeqr</t>
  </si>
  <si>
    <t>pdf+3+ year</t>
  </si>
  <si>
    <t>pdf +5</t>
  </si>
  <si>
    <t>pdf,4+yr</t>
  </si>
  <si>
    <t>pdf+4yr</t>
  </si>
  <si>
    <t>PD 5YR</t>
  </si>
  <si>
    <t>pdf summaries</t>
  </si>
  <si>
    <t>pdf</t>
  </si>
  <si>
    <t>Link</t>
  </si>
  <si>
    <t>https://www.hdgh.org/uploads/Board%20of%20Directors/Minutes/September%2024%202025%20Open%20BOD%20minutes.pdf</t>
  </si>
  <si>
    <t>9.1_i_MINUTES_Apr_28_2026____.pdf</t>
  </si>
  <si>
    <t>https://www.wrhn.ca/about-us/leadership</t>
  </si>
  <si>
    <t>Meeting_Minutes_May_2026.pdf</t>
  </si>
  <si>
    <t>Microsoft Word - Aug 2 2022 SLC BN Accreditation report follow up July 2022</t>
  </si>
  <si>
    <t>pdf INCLUDES AGENDA, AND OTHER MATERIAL</t>
  </si>
  <si>
    <t>https://nhh.ca/document/2025-12-11-board-of-directors-meeting-minutes</t>
  </si>
  <si>
    <t>PDF 5+YR</t>
  </si>
  <si>
    <t>https://www.lhsc.on.ca/media/13555/download?attachment</t>
  </si>
  <si>
    <t>https://www.lhsc.on.ca/about-lhsc/meeting-minutes</t>
  </si>
  <si>
    <t>2025-10-01-Board-Minutes.pdf</t>
  </si>
  <si>
    <t>Board of Directors Meeting Minutes: May 29, 2025 Virtual Meeting</t>
  </si>
  <si>
    <t>PDF 3 YRS</t>
  </si>
  <si>
    <t>BOD-March-2026-Website-Pkg.pdf</t>
  </si>
  <si>
    <t>https://quintehealth.ca/about-quinte-health/board-of-directors/board-meetings/</t>
  </si>
  <si>
    <t>https://hsnsudbury.ca/en/About-Us/Leadership-at-HSN/Board-of-Directors/Board-meetings</t>
  </si>
  <si>
    <t>Governance and Nominating Committee Meeting</t>
  </si>
  <si>
    <t>pdf 4+yr</t>
  </si>
  <si>
    <t>pdf 2yr</t>
  </si>
  <si>
    <t>BoardOpenMinutes24092024FINAL.pdf</t>
  </si>
  <si>
    <t>Board-of-Directors-Meeting-Minutes-February-5-2026.pdf</t>
  </si>
  <si>
    <t>pdf+5+</t>
  </si>
  <si>
    <t>Minutes-2024-11-27.pdf</t>
  </si>
  <si>
    <t>Microsoft Word - 2026-01-29-Board Highlights-EN</t>
  </si>
  <si>
    <t>pdf summaries,  5+yr</t>
  </si>
  <si>
    <t>board-minutes_march-2626.pdf</t>
  </si>
  <si>
    <t>pdf 5+</t>
  </si>
  <si>
    <t>Board Minutes November 10 2021.pdf</t>
  </si>
  <si>
    <t>pdf 1 yr   auto downloads</t>
  </si>
  <si>
    <t>pdf 5+yrs</t>
  </si>
  <si>
    <t>BOARD OF DIRECTORS</t>
  </si>
  <si>
    <t>SHN-Board-MINUTES-April_1_2021.pdf</t>
  </si>
  <si>
    <t>pdf fix of agendas and older minutes, submenu</t>
  </si>
  <si>
    <t>Governance</t>
  </si>
  <si>
    <t>https://www.wngh.ca/wp/wp-content/uploads/2025/03/MINUTE-DRAFT_Board-of-Directors_Feb-19-2025.pdf</t>
  </si>
  <si>
    <t>pdf 2 meetings summaries</t>
  </si>
  <si>
    <t>2025-09-23-Board-OPEN-Minutes-APPROVED-2025-10-28.pdf</t>
  </si>
  <si>
    <t>https://www.hpha.ca/boardofdirectors#accordion-25-1</t>
  </si>
  <si>
    <t>https://www.shn.ca/about-us/board-of-directors/</t>
  </si>
  <si>
    <t>https://www.sinaihealth.ca/about-sinai-health/sinai-health-board-of-directors/board-minutes-dates-and-documents</t>
  </si>
  <si>
    <t>https://www.ontarioshores.ca/board-meeting-minutes</t>
  </si>
  <si>
    <t>https://www.cornwallhospital.ca/en/BoardofDirectors</t>
  </si>
  <si>
    <t>https://bluewaterhealth.ca/about-us/board-of-directors/board-meetings/</t>
  </si>
  <si>
    <t>https://slmhc.on.ca/about/board-of-directors/</t>
  </si>
  <si>
    <t>https://www.niagarahealth.on.ca/site/board-meeting-schedule</t>
  </si>
  <si>
    <t>https://www.williamoslerhs.ca/en/who-we-are/board-of-directors.aspx</t>
  </si>
  <si>
    <t>https://www.sbghc.on.ca/about-us/board-meeting-schedule-minutes/</t>
  </si>
  <si>
    <t>https://nhh.ca/AboutNHH/BoardMeetings</t>
  </si>
  <si>
    <t>https://tbrhsc.net/tbrhsc/board-of-directors/open-board-meetings/</t>
  </si>
  <si>
    <t>https://www.wrh.on.ca/WRHBoardMeetings</t>
  </si>
  <si>
    <t>https://psfdh.on.ca/boardmeetings</t>
  </si>
  <si>
    <t>https://www.hdgh.org/hdghdirectors</t>
  </si>
  <si>
    <t>https://caseyhouse.ca/accountability/#1623785791880-9624b729-6d4d21bc-9620</t>
  </si>
  <si>
    <t>https://www.oakvalleyhealth.ca/about-us/meet-our-team/board-of-directors/board-of-directors-meetings/</t>
  </si>
  <si>
    <t>https://riversidehealthcare.ca/board-meeting-agenda-packages</t>
  </si>
  <si>
    <t>https://www.woodstockhospital.ca/board-meetings/</t>
  </si>
  <si>
    <t>https://lwha.ca/about/board/</t>
  </si>
  <si>
    <t>https://www.temiskaming-hospital.com/board-of-directors</t>
  </si>
  <si>
    <t>https://www.wngh.ca/about-wngh/board/#gsc.tab=0</t>
  </si>
  <si>
    <t>https://www.womenscollegehospital.ca/who-we-are/board-of-directors/</t>
  </si>
  <si>
    <t>https://www.hoteldieushaver.org/site/board</t>
  </si>
  <si>
    <t>https://www.kdh.on.ca/about-kemptville-district-hospital/board-of-directors/</t>
  </si>
  <si>
    <t>https://www.micsgroup.com/governance/board-meetings/</t>
  </si>
  <si>
    <t>https://www.josephbranthospital.ca/about-us/our-team/board-of-directors/agendas-and-summaries</t>
  </si>
  <si>
    <t>https://www.sjhc.london.on.ca/about-us/st-josephs-health-care-london/board-of-directors</t>
  </si>
  <si>
    <t>https://providencecare.ca/about-us/board-minutes/</t>
  </si>
  <si>
    <t>https://www.hanoverhospital.on.ca/board</t>
  </si>
  <si>
    <t>https://www.huronhealthsystem.ca/boardmaterials</t>
  </si>
  <si>
    <t>https://www.geraldtondh.com/board-of-directors#board-meetings</t>
  </si>
  <si>
    <t>https://kingstonhsc.ca/about-khsc/board-directors/board-related-documents</t>
  </si>
  <si>
    <t>https://www.nosh.ca/minutes</t>
  </si>
  <si>
    <t>https://www.thp.ca/aboutus/Pages/Board.aspx</t>
  </si>
  <si>
    <t>https://sunnybrook.ca/about-sunnybrook/governance-leadership/</t>
  </si>
  <si>
    <t>https://www.lh.ca/about-us/leadership-team/board-of-trustees/board-agendas-and-board-minutes/</t>
  </si>
  <si>
    <t>https://www.hamiltonhealthsciences.ca/about-us/our-organization/board-of-directors/</t>
  </si>
  <si>
    <t>https://hollandbloorview.ca/about-us/about-holland-bloorview/governance-and-leadership/board-directors</t>
  </si>
  <si>
    <t>https://hhhs.ca/governance/board-meeting-agenda-and-minutes</t>
  </si>
  <si>
    <t>https://www.tehn.ca/about-us/our-team/board-directors/board-meeting-dates-and-summaries</t>
  </si>
  <si>
    <t>http://lwdh.on.ca/index.php/resources/new-documents/board-of-directors/meeting-minutes/2026.html</t>
  </si>
  <si>
    <t>https://southlake.ca/about-southlake/board-of-directors/</t>
  </si>
  <si>
    <t>https://rmh.org/about-ross-memorial/board-meetings</t>
  </si>
  <si>
    <t>https://www.mackenziehealth.ca/about-us/board-of-directors/minutes</t>
  </si>
  <si>
    <t>https://www.cmh.org/hospital#board</t>
  </si>
  <si>
    <t>https://www.drhc.on.ca/minutes-of-board-meetings</t>
  </si>
  <si>
    <t>https://www.mrha.ca/meetingdatesminutes#accordion-38-1</t>
  </si>
  <si>
    <t>https://cmh.ca/board-of-directors-meeting-minutes</t>
  </si>
  <si>
    <t>https://www.arnpriorregionalhealth.ca/about-us/ourboard/attendingaboardmeeting/</t>
  </si>
  <si>
    <t>https://www.stevensonhospital.ca/board-meetings</t>
  </si>
  <si>
    <t>https://lacgh.napanee.on.ca/about/governance/#elementor-toc__heading-anchor-1</t>
  </si>
  <si>
    <t>https://www.hrh.ca/who-we-are/accountability/governance-leadership/</t>
  </si>
  <si>
    <t>https://www.mahc.ca/about-us/board-of-directors/board-meetings/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</si>
</sst>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D4C5F0"/>
      </patternFill>
    </fill>
    <fill>
      <patternFill patternType="solid">
        <fgColor rgb="FFC5E8DE"/>
      </patternFill>
    </fill>
    <fill>
      <patternFill patternType="solid">
        <fgColor rgb="FFFAD9C0"/>
      </patternFill>
    </fill>
    <fill>
      <patternFill patternType="solid">
        <fgColor rgb="FFD6EDBB"/>
      </patternFill>
    </fill>
    <fill>
      <patternFill patternType="solid">
        <fgColor rgb="FFD4B8E0"/>
        <bgColor rgb="FFD4B8E0"/>
      </patternFill>
    </fill>
    <fill>
      <patternFill patternType="solid">
        <fgColor rgb="FFB7D9B0"/>
        <bgColor rgb="FFB7D9B0"/>
      </patternFill>
    </fill>
    <fill>
      <patternFill patternType="solid">
        <fgColor rgb="FFFDDCB0"/>
        <bgColor rgb="FFFDDCB0"/>
      </patternFill>
    </fill>
    <fill>
      <patternFill patternType="solid">
        <fgColor rgb="FFB3D4F0"/>
        <bgColor rgb="FFB3D4F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4" fontId="0" fillId="0" borderId="0" xfId="0" applyNumberFormat="1"/>
    <xf numFmtId="0" fontId="3" fillId="8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8" borderId="1" xfId="1" applyFill="1" applyBorder="1" applyAlignment="1">
      <alignment vertical="center"/>
    </xf>
    <xf numFmtId="0" fontId="5" fillId="5" borderId="2" xfId="1" applyFill="1" applyBorder="1" applyAlignment="1">
      <alignment horizontal="left" vertical="center" wrapText="1"/>
    </xf>
    <xf numFmtId="0" fontId="5" fillId="3" borderId="2" xfId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2" xfId="1" applyBorder="1"/>
    <xf numFmtId="0" fontId="3" fillId="9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9" fontId="0" fillId="0" borderId="0" xfId="2" applyFont="1"/>
    <xf numFmtId="0" fontId="3" fillId="1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9" borderId="2" xfId="1" applyFill="1" applyBorder="1" applyAlignment="1">
      <alignment vertical="center"/>
    </xf>
    <xf numFmtId="0" fontId="5" fillId="0" borderId="0" xfId="1" applyBorder="1"/>
    <xf numFmtId="0" fontId="3" fillId="8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3" fillId="9" borderId="4" xfId="0" applyFont="1" applyFill="1" applyBorder="1" applyAlignment="1">
      <alignment vertical="center"/>
    </xf>
    <xf numFmtId="0" fontId="5" fillId="10" borderId="2" xfId="1" applyFill="1" applyBorder="1" applyAlignment="1">
      <alignment vertical="center"/>
    </xf>
    <xf numFmtId="0" fontId="5" fillId="8" borderId="2" xfId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5" fillId="7" borderId="2" xfId="1" applyFill="1" applyBorder="1" applyAlignment="1">
      <alignment vertical="center"/>
    </xf>
    <xf numFmtId="0" fontId="3" fillId="6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vertical="center"/>
    </xf>
    <xf numFmtId="0" fontId="5" fillId="8" borderId="0" xfId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5" fillId="9" borderId="0" xfId="1" applyFill="1" applyAlignment="1">
      <alignment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csgroup.com/governance/board-meetings/" TargetMode="External"/><Relationship Id="rId21" Type="http://schemas.openxmlformats.org/officeDocument/2006/relationships/hyperlink" Target="https://www.arnpriorregionalhealth.ca/about-us/ourboard/attendingaboardmeeting/" TargetMode="External"/><Relationship Id="rId42" Type="http://schemas.openxmlformats.org/officeDocument/2006/relationships/hyperlink" Target="https://kdh.on.ca/" TargetMode="External"/><Relationship Id="rId47" Type="http://schemas.openxmlformats.org/officeDocument/2006/relationships/hyperlink" Target="https://www.hgmh.on.ca/" TargetMode="External"/><Relationship Id="rId63" Type="http://schemas.openxmlformats.org/officeDocument/2006/relationships/hyperlink" Target="https://psfdh.on.ca/boardmeetings" TargetMode="External"/><Relationship Id="rId68" Type="http://schemas.openxmlformats.org/officeDocument/2006/relationships/hyperlink" Target="https://tbrhsc.net/" TargetMode="External"/><Relationship Id="rId84" Type="http://schemas.openxmlformats.org/officeDocument/2006/relationships/hyperlink" Target="https://www.ottawaheart.ca/" TargetMode="External"/><Relationship Id="rId89" Type="http://schemas.openxmlformats.org/officeDocument/2006/relationships/hyperlink" Target="https://www.bluewaterhealth.ca/" TargetMode="External"/><Relationship Id="rId16" Type="http://schemas.openxmlformats.org/officeDocument/2006/relationships/hyperlink" Target="https://www.thp.ca/aboutus/Pages/Board.aspx" TargetMode="External"/><Relationship Id="rId107" Type="http://schemas.openxmlformats.org/officeDocument/2006/relationships/hyperlink" Target="https://www.nosh.ca/minutes" TargetMode="External"/><Relationship Id="rId11" Type="http://schemas.openxmlformats.org/officeDocument/2006/relationships/hyperlink" Target="https://www.cmh.org/hospital" TargetMode="External"/><Relationship Id="rId32" Type="http://schemas.openxmlformats.org/officeDocument/2006/relationships/hyperlink" Target="https://www.ndh.on.ca/" TargetMode="External"/><Relationship Id="rId37" Type="http://schemas.openxmlformats.org/officeDocument/2006/relationships/hyperlink" Target="https://www.sjhc.london.on.ca/about-us/st-josephs-health-care-london/board-of-directors" TargetMode="External"/><Relationship Id="rId53" Type="http://schemas.openxmlformats.org/officeDocument/2006/relationships/hyperlink" Target="https://www.wngh.ca/about-wngh/board/" TargetMode="External"/><Relationship Id="rId58" Type="http://schemas.openxmlformats.org/officeDocument/2006/relationships/hyperlink" Target="https://riversidehealthcare.ca/board-meeting-agenda-packages" TargetMode="External"/><Relationship Id="rId74" Type="http://schemas.openxmlformats.org/officeDocument/2006/relationships/hyperlink" Target="https://www.sbghc.on.ca/" TargetMode="External"/><Relationship Id="rId79" Type="http://schemas.openxmlformats.org/officeDocument/2006/relationships/hyperlink" Target="https://www.williamoslerhs.ca/en/who-we-are/resources/May-29-2025_Remediated.pdf" TargetMode="External"/><Relationship Id="rId102" Type="http://schemas.openxmlformats.org/officeDocument/2006/relationships/hyperlink" Target="https://www.hpha.ca/boardofdirectors" TargetMode="External"/><Relationship Id="rId5" Type="http://schemas.openxmlformats.org/officeDocument/2006/relationships/hyperlink" Target="https://www.stevensonhospital.ca/board-meetings" TargetMode="External"/><Relationship Id="rId90" Type="http://schemas.openxmlformats.org/officeDocument/2006/relationships/hyperlink" Target="https://bluewaterhealth.ca/about-us/board-of-directors/board-meetings/" TargetMode="External"/><Relationship Id="rId95" Type="http://schemas.openxmlformats.org/officeDocument/2006/relationships/hyperlink" Target="https://www.mahc.ca/media/jqppk2sj/board-minutes_march-2626.pdf" TargetMode="External"/><Relationship Id="rId22" Type="http://schemas.openxmlformats.org/officeDocument/2006/relationships/hyperlink" Target="https://www.brockvillegeneralhospital.ca/" TargetMode="External"/><Relationship Id="rId27" Type="http://schemas.openxmlformats.org/officeDocument/2006/relationships/hyperlink" Target="https://www.huronhealthsystem.ca/boardmaterials" TargetMode="External"/><Relationship Id="rId43" Type="http://schemas.openxmlformats.org/officeDocument/2006/relationships/hyperlink" Target="https://www.kdh.on.ca/about-kemptville-district-hospital/board-of-directors/" TargetMode="External"/><Relationship Id="rId48" Type="http://schemas.openxmlformats.org/officeDocument/2006/relationships/hyperlink" Target="https://www.hpha.ca/" TargetMode="External"/><Relationship Id="rId64" Type="http://schemas.openxmlformats.org/officeDocument/2006/relationships/hyperlink" Target="https://psfdh.on.ca/uploads/9.1_i_MINUTES_Apr_28_2026____.pdf" TargetMode="External"/><Relationship Id="rId69" Type="http://schemas.openxmlformats.org/officeDocument/2006/relationships/hyperlink" Target="https://tbrhsc.net/tbrhsc/board-of-directors/open-board-meetings/" TargetMode="External"/><Relationship Id="rId80" Type="http://schemas.openxmlformats.org/officeDocument/2006/relationships/hyperlink" Target="https://quintehealth.ca/about-quinte-health/board-of-directors/board-meetings/" TargetMode="External"/><Relationship Id="rId85" Type="http://schemas.openxmlformats.org/officeDocument/2006/relationships/hyperlink" Target="https://www.niagarahealth.on.ca/site/board-meeting-schedule" TargetMode="External"/><Relationship Id="rId12" Type="http://schemas.openxmlformats.org/officeDocument/2006/relationships/hyperlink" Target="https://www.mackenziehealth.ca/about-us/board-of-directors/minutes" TargetMode="External"/><Relationship Id="rId17" Type="http://schemas.openxmlformats.org/officeDocument/2006/relationships/hyperlink" Target="https://www.mrha.ca/meetingdatesminutes" TargetMode="External"/><Relationship Id="rId33" Type="http://schemas.openxmlformats.org/officeDocument/2006/relationships/hyperlink" Target="https://www.micsgroup.com/governance/board-meetings/" TargetMode="External"/><Relationship Id="rId38" Type="http://schemas.openxmlformats.org/officeDocument/2006/relationships/hyperlink" Target="https://www.josephbranthospital.ca/" TargetMode="External"/><Relationship Id="rId59" Type="http://schemas.openxmlformats.org/officeDocument/2006/relationships/hyperlink" Target="https://www.oakvalleyhealth.ca/about-us/meet-our-team/board-of-directors/board-of-directors-meetings/" TargetMode="External"/><Relationship Id="rId103" Type="http://schemas.openxmlformats.org/officeDocument/2006/relationships/hyperlink" Target="https://www.hpha.ca/uploads/board/Board%20Minutes/2026%2002%2005%20BOD_Mins.pdf" TargetMode="External"/><Relationship Id="rId108" Type="http://schemas.openxmlformats.org/officeDocument/2006/relationships/hyperlink" Target="https://www.cornwallhospital.ca/en/BoardofDirectors" TargetMode="External"/><Relationship Id="rId54" Type="http://schemas.openxmlformats.org/officeDocument/2006/relationships/hyperlink" Target="https://www.wdmh.on.ca/" TargetMode="External"/><Relationship Id="rId70" Type="http://schemas.openxmlformats.org/officeDocument/2006/relationships/hyperlink" Target="https://tbrhsc.net/wp-content/uploads/2026/04/0-Meeting-Package_OPEN_April-1-2026_bookmarked.pdf" TargetMode="External"/><Relationship Id="rId75" Type="http://schemas.openxmlformats.org/officeDocument/2006/relationships/hyperlink" Target="https://www.sbghc.on.ca/about-us/board-meeting-schedule-minutes/" TargetMode="External"/><Relationship Id="rId91" Type="http://schemas.openxmlformats.org/officeDocument/2006/relationships/hyperlink" Target="https://bluewaterhealth.ca/wp-content/uploads/2025/10/Minutes-2024-11-27.pdf" TargetMode="External"/><Relationship Id="rId96" Type="http://schemas.openxmlformats.org/officeDocument/2006/relationships/hyperlink" Target="https://www.ontarioshores.ca/board-meeting-minutes" TargetMode="External"/><Relationship Id="rId1" Type="http://schemas.openxmlformats.org/officeDocument/2006/relationships/hyperlink" Target="https://hopitalmontfort.com/" TargetMode="External"/><Relationship Id="rId6" Type="http://schemas.openxmlformats.org/officeDocument/2006/relationships/hyperlink" Target="https://www.sfmhosp.com/" TargetMode="External"/><Relationship Id="rId15" Type="http://schemas.openxmlformats.org/officeDocument/2006/relationships/hyperlink" Target="https://www.hrh.ca/who-we-are/accountability/governance-leadership/" TargetMode="External"/><Relationship Id="rId23" Type="http://schemas.openxmlformats.org/officeDocument/2006/relationships/hyperlink" Target="https://cmh.ca/board-of-directors-meeting-minutes" TargetMode="External"/><Relationship Id="rId28" Type="http://schemas.openxmlformats.org/officeDocument/2006/relationships/hyperlink" Target="https://www.geraldtondh.com/board-of-directors" TargetMode="External"/><Relationship Id="rId36" Type="http://schemas.openxmlformats.org/officeDocument/2006/relationships/hyperlink" Target="https://lwha.ca/about/board/" TargetMode="External"/><Relationship Id="rId49" Type="http://schemas.openxmlformats.org/officeDocument/2006/relationships/hyperlink" Target="https://www.hpha.ca/boardofdirectors" TargetMode="External"/><Relationship Id="rId57" Type="http://schemas.openxmlformats.org/officeDocument/2006/relationships/hyperlink" Target="https://www.woodstockhospital.ca/board-meetings/" TargetMode="External"/><Relationship Id="rId106" Type="http://schemas.openxmlformats.org/officeDocument/2006/relationships/hyperlink" Target="https://www.nosh.ca/" TargetMode="External"/><Relationship Id="rId10" Type="http://schemas.openxmlformats.org/officeDocument/2006/relationships/hyperlink" Target="https://kingstonhsc.ca/about-khsc/board-directors/board-related-documents" TargetMode="External"/><Relationship Id="rId31" Type="http://schemas.openxmlformats.org/officeDocument/2006/relationships/hyperlink" Target="https://www.hanoverhospital.on.ca/board" TargetMode="External"/><Relationship Id="rId44" Type="http://schemas.openxmlformats.org/officeDocument/2006/relationships/hyperlink" Target="mailto:swatson@cheo.on.ca" TargetMode="External"/><Relationship Id="rId52" Type="http://schemas.openxmlformats.org/officeDocument/2006/relationships/hyperlink" Target="https://www.womenscollegehospital.ca/who-we-are/board-of-directors/" TargetMode="External"/><Relationship Id="rId60" Type="http://schemas.openxmlformats.org/officeDocument/2006/relationships/hyperlink" Target="https://tadh.com/" TargetMode="External"/><Relationship Id="rId65" Type="http://schemas.openxmlformats.org/officeDocument/2006/relationships/hyperlink" Target="https://www.wrh.on.ca/" TargetMode="External"/><Relationship Id="rId73" Type="http://schemas.openxmlformats.org/officeDocument/2006/relationships/hyperlink" Target="https://www.lhsc.on.ca/" TargetMode="External"/><Relationship Id="rId78" Type="http://schemas.openxmlformats.org/officeDocument/2006/relationships/hyperlink" Target="https://www.williamoslerhs.ca/en/who-we-are/board-of-directors.aspx" TargetMode="External"/><Relationship Id="rId81" Type="http://schemas.openxmlformats.org/officeDocument/2006/relationships/hyperlink" Target="https://quintehealth.ca/wp-content/uploads/2026/04/BOD-March-2026-Website-Pkg.pdf" TargetMode="External"/><Relationship Id="rId86" Type="http://schemas.openxmlformats.org/officeDocument/2006/relationships/hyperlink" Target="https://www.niagarahealth.on.ca/files/BoardOpenMinutes24092024FINAL.pdf" TargetMode="External"/><Relationship Id="rId94" Type="http://schemas.openxmlformats.org/officeDocument/2006/relationships/hyperlink" Target="https://www.mahc.ca/about-us/board-of-directors/board-meetings/" TargetMode="External"/><Relationship Id="rId99" Type="http://schemas.openxmlformats.org/officeDocument/2006/relationships/hyperlink" Target="https://www.sinaihealth.ca/media/26056/download?inline" TargetMode="External"/><Relationship Id="rId101" Type="http://schemas.openxmlformats.org/officeDocument/2006/relationships/hyperlink" Target="https://www.shn.ca/about-us/board-of-directors/" TargetMode="External"/><Relationship Id="rId4" Type="http://schemas.openxmlformats.org/officeDocument/2006/relationships/hyperlink" Target="https://www.lh.ca/about-us/leadership-team/board-of-trustees/board-agendas-and-board-minutes/" TargetMode="External"/><Relationship Id="rId9" Type="http://schemas.openxmlformats.org/officeDocument/2006/relationships/hyperlink" Target="https://sunnybrook.ca/about-sunnybrook/governance-leadership/" TargetMode="External"/><Relationship Id="rId13" Type="http://schemas.openxmlformats.org/officeDocument/2006/relationships/hyperlink" Target="https://southlake.ca/about-southlake/board-of-directors/" TargetMode="External"/><Relationship Id="rId18" Type="http://schemas.openxmlformats.org/officeDocument/2006/relationships/hyperlink" Target="https://www.drhc.on.ca/minutes-of-board-meetings" TargetMode="External"/><Relationship Id="rId39" Type="http://schemas.openxmlformats.org/officeDocument/2006/relationships/hyperlink" Target="https://www.josephbranthospital.ca/about-us/our-team/board-of-directors/agendas-and-summaries" TargetMode="External"/><Relationship Id="rId109" Type="http://schemas.openxmlformats.org/officeDocument/2006/relationships/hyperlink" Target="https://lacgh.napanee.on.ca/about/governance/" TargetMode="External"/><Relationship Id="rId34" Type="http://schemas.openxmlformats.org/officeDocument/2006/relationships/hyperlink" Target="https://providencecare.ca/" TargetMode="External"/><Relationship Id="rId50" Type="http://schemas.openxmlformats.org/officeDocument/2006/relationships/hyperlink" Target="https://mhalliance.on.ca/" TargetMode="External"/><Relationship Id="rId55" Type="http://schemas.openxmlformats.org/officeDocument/2006/relationships/hyperlink" Target="https://www.temiskaming-hospital.com/board-of-directors" TargetMode="External"/><Relationship Id="rId76" Type="http://schemas.openxmlformats.org/officeDocument/2006/relationships/hyperlink" Target="https://www.sbghc.on.ca/wp-content/uploads/2026/01/2025-10-01-Board-Minutes.pdf" TargetMode="External"/><Relationship Id="rId97" Type="http://schemas.openxmlformats.org/officeDocument/2006/relationships/hyperlink" Target="file:///C:\Users\lewis\Downloads\Board%20Minutes%20November%2010%202021.pdf" TargetMode="External"/><Relationship Id="rId104" Type="http://schemas.openxmlformats.org/officeDocument/2006/relationships/hyperlink" Target="https://www.wngh.ca/wp/wp-content/uploads/2025/03/MINUTE-DRAFT_Board-of-Directors_Feb-19-2025.pdf" TargetMode="External"/><Relationship Id="rId7" Type="http://schemas.openxmlformats.org/officeDocument/2006/relationships/hyperlink" Target="https://hollandbloorview.ca/about-us/about-holland-bloorview/governance-and-leadership/board-directors" TargetMode="External"/><Relationship Id="rId71" Type="http://schemas.openxmlformats.org/officeDocument/2006/relationships/hyperlink" Target="https://nhh.ca/AboutNHH/BoardMeetings" TargetMode="External"/><Relationship Id="rId92" Type="http://schemas.openxmlformats.org/officeDocument/2006/relationships/hyperlink" Target="https://www.cornwallhospital.ca/uploads/Common/2026-01-29-Board%20Highlights-EN.pdf" TargetMode="External"/><Relationship Id="rId2" Type="http://schemas.openxmlformats.org/officeDocument/2006/relationships/hyperlink" Target="https://www.ottawahospital.on.ca/" TargetMode="External"/><Relationship Id="rId29" Type="http://schemas.openxmlformats.org/officeDocument/2006/relationships/hyperlink" Target="https://www.huronhealthsystem.ca/boardmaterials" TargetMode="External"/><Relationship Id="rId24" Type="http://schemas.openxmlformats.org/officeDocument/2006/relationships/hyperlink" Target="https://www.mrha.ca/meetingdatesminutes" TargetMode="External"/><Relationship Id="rId40" Type="http://schemas.openxmlformats.org/officeDocument/2006/relationships/hyperlink" Target="https://www.micsgroup.com/governance/board-meetings/" TargetMode="External"/><Relationship Id="rId45" Type="http://schemas.openxmlformats.org/officeDocument/2006/relationships/hyperlink" Target="https://www.pemreghos.org/" TargetMode="External"/><Relationship Id="rId66" Type="http://schemas.openxmlformats.org/officeDocument/2006/relationships/hyperlink" Target="https://www.wrh.on.ca/WRHBoardMeetings" TargetMode="External"/><Relationship Id="rId87" Type="http://schemas.openxmlformats.org/officeDocument/2006/relationships/hyperlink" Target="https://slmhc.on.ca/about/board-of-directors/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https://caseyhouse.ca/accountability/" TargetMode="External"/><Relationship Id="rId82" Type="http://schemas.openxmlformats.org/officeDocument/2006/relationships/hyperlink" Target="https://hsnsudbury.ca/" TargetMode="External"/><Relationship Id="rId19" Type="http://schemas.openxmlformats.org/officeDocument/2006/relationships/hyperlink" Target="http://lwdh.on.ca/index.php/resources/new-documents/board-of-directors/meeting-minutes/2026.html" TargetMode="External"/><Relationship Id="rId14" Type="http://schemas.openxmlformats.org/officeDocument/2006/relationships/hyperlink" Target="https://www.tehn.ca/about-us/our-team/board-directors/board-meeting-dates-and-summaries" TargetMode="External"/><Relationship Id="rId30" Type="http://schemas.openxmlformats.org/officeDocument/2006/relationships/hyperlink" Target="https://www.sjhcg.ca/" TargetMode="External"/><Relationship Id="rId35" Type="http://schemas.openxmlformats.org/officeDocument/2006/relationships/hyperlink" Target="https://providencecare.ca/about-us/board-minutes/" TargetMode="External"/><Relationship Id="rId56" Type="http://schemas.openxmlformats.org/officeDocument/2006/relationships/hyperlink" Target="https://lwha.ca/about/board/" TargetMode="External"/><Relationship Id="rId77" Type="http://schemas.openxmlformats.org/officeDocument/2006/relationships/hyperlink" Target="https://www.uhn.ca/" TargetMode="External"/><Relationship Id="rId100" Type="http://schemas.openxmlformats.org/officeDocument/2006/relationships/hyperlink" Target="https://www.shn.ca/wp-content/uploads/SHN-Board-MINUTES-April_1_2021.pdf" TargetMode="External"/><Relationship Id="rId105" Type="http://schemas.openxmlformats.org/officeDocument/2006/relationships/hyperlink" Target="https://providencecare.ca/wp-content/uploads/2025/11/2025-09-23-Board-OPEN-Minutes-APPROVED-2025-10-28.pdf" TargetMode="External"/><Relationship Id="rId8" Type="http://schemas.openxmlformats.org/officeDocument/2006/relationships/hyperlink" Target="https://www.hamiltonhealthsciences.ca/about-us/our-organization/board-of-directors/" TargetMode="External"/><Relationship Id="rId51" Type="http://schemas.openxmlformats.org/officeDocument/2006/relationships/hyperlink" Target="https://www.sickkids.ca/" TargetMode="External"/><Relationship Id="rId72" Type="http://schemas.openxmlformats.org/officeDocument/2006/relationships/hyperlink" Target="https://nhh.ca/document/2025-12-11-board-of-directors-meeting-minutes" TargetMode="External"/><Relationship Id="rId93" Type="http://schemas.openxmlformats.org/officeDocument/2006/relationships/hyperlink" Target="https://www.cornwallhospital.ca/en/BoardofDirectors" TargetMode="External"/><Relationship Id="rId98" Type="http://schemas.openxmlformats.org/officeDocument/2006/relationships/hyperlink" Target="https://www.waha.ca/" TargetMode="External"/><Relationship Id="rId3" Type="http://schemas.openxmlformats.org/officeDocument/2006/relationships/hyperlink" Target="https://rmh.org/about-ross-memorial/board-meetings" TargetMode="External"/><Relationship Id="rId25" Type="http://schemas.openxmlformats.org/officeDocument/2006/relationships/hyperlink" Target="https://www.micsgroup.com/" TargetMode="External"/><Relationship Id="rId46" Type="http://schemas.openxmlformats.org/officeDocument/2006/relationships/hyperlink" Target="https://www.hoteldieushaver.org/site/board" TargetMode="External"/><Relationship Id="rId67" Type="http://schemas.openxmlformats.org/officeDocument/2006/relationships/hyperlink" Target="https://www.wrh.on.ca/uploads/BoardMeetings/Meeting_Minutes_May_2026.pdf" TargetMode="External"/><Relationship Id="rId20" Type="http://schemas.openxmlformats.org/officeDocument/2006/relationships/hyperlink" Target="https://hhhs.ca/governance/board-meeting-agenda-and-minutes" TargetMode="External"/><Relationship Id="rId41" Type="http://schemas.openxmlformats.org/officeDocument/2006/relationships/hyperlink" Target="https://gbgh.on.ca/" TargetMode="External"/><Relationship Id="rId62" Type="http://schemas.openxmlformats.org/officeDocument/2006/relationships/hyperlink" Target="https://www.hdgh.org/hdghdirectors" TargetMode="External"/><Relationship Id="rId83" Type="http://schemas.openxmlformats.org/officeDocument/2006/relationships/hyperlink" Target="https://hsnsudbury.ca/Portals/1/7_1_Board_Minutes_2026_01_27_OpenSession_2026_03_31.pdf" TargetMode="External"/><Relationship Id="rId88" Type="http://schemas.openxmlformats.org/officeDocument/2006/relationships/hyperlink" Target="https://slmhc.on.ca/wp-content/uploads/2026/03/Board-of-Directors-Meeting-Minutes-February-5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topLeftCell="E1" workbookViewId="0">
      <pane ySplit="1" topLeftCell="A28" activePane="bottomLeft" state="frozen"/>
      <selection pane="bottomLeft" activeCell="F28" sqref="F28"/>
    </sheetView>
  </sheetViews>
  <sheetFormatPr defaultRowHeight="14.5" x14ac:dyDescent="0.35"/>
  <cols>
    <col min="1" max="1" width="8" customWidth="1"/>
    <col min="2" max="2" width="42" customWidth="1"/>
    <col min="3" max="3" width="18" customWidth="1"/>
    <col min="4" max="4" width="40" customWidth="1"/>
    <col min="5" max="5" width="18" customWidth="1"/>
    <col min="6" max="6" width="45" customWidth="1"/>
    <col min="7" max="8" width="3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0" t="s">
        <v>486</v>
      </c>
      <c r="I1" s="40" t="s">
        <v>457</v>
      </c>
      <c r="J1" s="40" t="s">
        <v>458</v>
      </c>
    </row>
    <row r="2" spans="1:10" ht="25.5" customHeight="1" x14ac:dyDescent="0.35">
      <c r="A2" s="2" t="s">
        <v>37</v>
      </c>
      <c r="B2" s="3" t="s">
        <v>38</v>
      </c>
      <c r="C2" s="4" t="s">
        <v>39</v>
      </c>
      <c r="D2" s="3" t="s">
        <v>40</v>
      </c>
      <c r="E2" s="4" t="s">
        <v>83</v>
      </c>
      <c r="F2" s="3"/>
      <c r="G2" s="3"/>
      <c r="H2" s="35"/>
      <c r="I2">
        <f>IF(ISBLANK(E2),0,1)</f>
        <v>1</v>
      </c>
      <c r="J2">
        <f>IF(ISBLANK(F2),0,1)</f>
        <v>0</v>
      </c>
    </row>
    <row r="3" spans="1:10" x14ac:dyDescent="0.35">
      <c r="A3" s="20" t="s">
        <v>102</v>
      </c>
      <c r="B3" s="20" t="s">
        <v>103</v>
      </c>
      <c r="C3" s="20" t="s">
        <v>19</v>
      </c>
      <c r="D3" s="20" t="s">
        <v>104</v>
      </c>
      <c r="E3" s="20" t="s">
        <v>83</v>
      </c>
      <c r="F3" s="20"/>
      <c r="G3" s="20"/>
      <c r="H3" s="48"/>
      <c r="I3">
        <f t="shared" ref="I3:I66" si="0">IF(ISBLANK(E3),0,1)</f>
        <v>1</v>
      </c>
      <c r="J3">
        <f t="shared" ref="J3:J66" si="1">IF(ISBLANK(F3),0,1)</f>
        <v>0</v>
      </c>
    </row>
    <row r="4" spans="1:10" x14ac:dyDescent="0.35">
      <c r="A4" s="2" t="s">
        <v>44</v>
      </c>
      <c r="B4" s="3" t="s">
        <v>45</v>
      </c>
      <c r="C4" s="4" t="s">
        <v>39</v>
      </c>
      <c r="D4" s="3" t="s">
        <v>46</v>
      </c>
      <c r="E4" s="4" t="s">
        <v>83</v>
      </c>
      <c r="F4" s="3"/>
      <c r="G4" s="3"/>
      <c r="H4" s="35"/>
      <c r="I4">
        <f t="shared" si="0"/>
        <v>1</v>
      </c>
      <c r="J4">
        <f t="shared" si="1"/>
        <v>0</v>
      </c>
    </row>
    <row r="5" spans="1:10" x14ac:dyDescent="0.35">
      <c r="A5" s="20" t="s">
        <v>170</v>
      </c>
      <c r="B5" s="20" t="s">
        <v>171</v>
      </c>
      <c r="C5" s="20" t="s">
        <v>172</v>
      </c>
      <c r="D5" s="32" t="s">
        <v>173</v>
      </c>
      <c r="E5" s="20" t="s">
        <v>83</v>
      </c>
      <c r="F5" s="50"/>
      <c r="G5" s="20"/>
      <c r="H5" s="48"/>
      <c r="I5">
        <f t="shared" si="0"/>
        <v>1</v>
      </c>
      <c r="J5">
        <f t="shared" si="1"/>
        <v>0</v>
      </c>
    </row>
    <row r="6" spans="1:10" x14ac:dyDescent="0.35">
      <c r="A6" s="18" t="s">
        <v>180</v>
      </c>
      <c r="B6" s="18" t="s">
        <v>181</v>
      </c>
      <c r="C6" s="18" t="s">
        <v>165</v>
      </c>
      <c r="D6" s="18" t="s">
        <v>182</v>
      </c>
      <c r="E6" s="18" t="s">
        <v>83</v>
      </c>
      <c r="F6" s="38"/>
      <c r="G6" s="18"/>
      <c r="H6" s="51"/>
      <c r="I6">
        <f t="shared" si="0"/>
        <v>1</v>
      </c>
      <c r="J6">
        <f t="shared" si="1"/>
        <v>0</v>
      </c>
    </row>
    <row r="7" spans="1:10" x14ac:dyDescent="0.35">
      <c r="A7" s="20" t="s">
        <v>183</v>
      </c>
      <c r="B7" s="20" t="s">
        <v>184</v>
      </c>
      <c r="C7" s="20" t="s">
        <v>172</v>
      </c>
      <c r="D7" s="20" t="s">
        <v>185</v>
      </c>
      <c r="E7" s="20" t="s">
        <v>83</v>
      </c>
      <c r="F7" s="36"/>
      <c r="G7" s="20"/>
      <c r="H7" s="48"/>
      <c r="I7">
        <f t="shared" si="0"/>
        <v>1</v>
      </c>
      <c r="J7">
        <f t="shared" si="1"/>
        <v>0</v>
      </c>
    </row>
    <row r="8" spans="1:10" x14ac:dyDescent="0.35">
      <c r="A8" s="20" t="s">
        <v>189</v>
      </c>
      <c r="B8" s="20" t="s">
        <v>190</v>
      </c>
      <c r="C8" s="20" t="s">
        <v>172</v>
      </c>
      <c r="D8" s="20" t="s">
        <v>191</v>
      </c>
      <c r="E8" s="20" t="s">
        <v>451</v>
      </c>
      <c r="F8" s="36"/>
      <c r="G8" s="20"/>
      <c r="H8" s="48"/>
      <c r="I8">
        <f t="shared" si="0"/>
        <v>1</v>
      </c>
      <c r="J8">
        <f t="shared" si="1"/>
        <v>0</v>
      </c>
    </row>
    <row r="9" spans="1:10" x14ac:dyDescent="0.35">
      <c r="A9" s="18" t="s">
        <v>195</v>
      </c>
      <c r="B9" s="18" t="s">
        <v>196</v>
      </c>
      <c r="C9" s="18" t="s">
        <v>165</v>
      </c>
      <c r="D9" s="18" t="s">
        <v>197</v>
      </c>
      <c r="E9" s="18" t="s">
        <v>451</v>
      </c>
      <c r="F9" s="38"/>
      <c r="G9" s="18"/>
      <c r="H9" s="51"/>
      <c r="I9">
        <f t="shared" si="0"/>
        <v>1</v>
      </c>
      <c r="J9">
        <f t="shared" si="1"/>
        <v>0</v>
      </c>
    </row>
    <row r="10" spans="1:10" x14ac:dyDescent="0.35">
      <c r="A10" s="18" t="s">
        <v>47</v>
      </c>
      <c r="B10" s="18" t="s">
        <v>48</v>
      </c>
      <c r="C10" s="18" t="s">
        <v>165</v>
      </c>
      <c r="D10" s="18" t="s">
        <v>49</v>
      </c>
      <c r="E10" s="18" t="s">
        <v>83</v>
      </c>
      <c r="F10" s="38"/>
      <c r="G10" s="18" t="s">
        <v>456</v>
      </c>
      <c r="H10" s="51"/>
      <c r="I10">
        <f t="shared" si="0"/>
        <v>1</v>
      </c>
      <c r="J10">
        <f t="shared" si="1"/>
        <v>0</v>
      </c>
    </row>
    <row r="11" spans="1:10" x14ac:dyDescent="0.35">
      <c r="A11" s="2" t="s">
        <v>50</v>
      </c>
      <c r="B11" s="3" t="s">
        <v>51</v>
      </c>
      <c r="C11" s="4" t="s">
        <v>39</v>
      </c>
      <c r="D11" s="3" t="s">
        <v>52</v>
      </c>
      <c r="E11" s="4" t="s">
        <v>83</v>
      </c>
      <c r="F11" s="35"/>
      <c r="G11" s="3"/>
      <c r="H11" s="35"/>
      <c r="I11">
        <f t="shared" si="0"/>
        <v>1</v>
      </c>
      <c r="J11">
        <f t="shared" si="1"/>
        <v>0</v>
      </c>
    </row>
    <row r="12" spans="1:10" x14ac:dyDescent="0.35">
      <c r="A12" s="42" t="s">
        <v>143</v>
      </c>
      <c r="B12" s="42" t="s">
        <v>144</v>
      </c>
      <c r="C12" s="42" t="s">
        <v>64</v>
      </c>
      <c r="D12" s="42" t="s">
        <v>145</v>
      </c>
      <c r="E12" s="42" t="s">
        <v>83</v>
      </c>
      <c r="F12" s="42"/>
      <c r="G12" s="42"/>
      <c r="H12" s="49"/>
      <c r="I12">
        <f t="shared" si="0"/>
        <v>1</v>
      </c>
      <c r="J12">
        <f t="shared" si="1"/>
        <v>0</v>
      </c>
    </row>
    <row r="13" spans="1:10" x14ac:dyDescent="0.35">
      <c r="A13" s="18" t="s">
        <v>198</v>
      </c>
      <c r="B13" s="18" t="s">
        <v>199</v>
      </c>
      <c r="C13" s="18" t="s">
        <v>165</v>
      </c>
      <c r="D13" s="18" t="s">
        <v>200</v>
      </c>
      <c r="E13" s="18" t="s">
        <v>83</v>
      </c>
      <c r="F13" s="38"/>
      <c r="G13" s="18"/>
      <c r="H13" s="51"/>
      <c r="I13">
        <f t="shared" si="0"/>
        <v>1</v>
      </c>
      <c r="J13">
        <f t="shared" si="1"/>
        <v>0</v>
      </c>
    </row>
    <row r="14" spans="1:10" x14ac:dyDescent="0.35">
      <c r="A14" s="18" t="s">
        <v>201</v>
      </c>
      <c r="B14" s="18" t="s">
        <v>202</v>
      </c>
      <c r="C14" s="18" t="s">
        <v>165</v>
      </c>
      <c r="D14" s="18" t="s">
        <v>203</v>
      </c>
      <c r="E14" s="18" t="s">
        <v>83</v>
      </c>
      <c r="F14" s="38"/>
      <c r="G14" s="18"/>
      <c r="H14" s="51"/>
      <c r="I14">
        <f t="shared" si="0"/>
        <v>1</v>
      </c>
      <c r="J14">
        <f t="shared" si="1"/>
        <v>0</v>
      </c>
    </row>
    <row r="15" spans="1:10" x14ac:dyDescent="0.35">
      <c r="A15" s="18" t="s">
        <v>207</v>
      </c>
      <c r="B15" s="18" t="s">
        <v>208</v>
      </c>
      <c r="C15" s="18" t="s">
        <v>165</v>
      </c>
      <c r="D15" s="18" t="s">
        <v>209</v>
      </c>
      <c r="E15" s="18" t="s">
        <v>83</v>
      </c>
      <c r="F15" s="38"/>
      <c r="G15" s="18"/>
      <c r="H15" s="51"/>
      <c r="I15">
        <f t="shared" si="0"/>
        <v>1</v>
      </c>
      <c r="J15">
        <f t="shared" si="1"/>
        <v>0</v>
      </c>
    </row>
    <row r="16" spans="1:10" x14ac:dyDescent="0.35">
      <c r="A16" s="18" t="s">
        <v>131</v>
      </c>
      <c r="B16" s="18" t="s">
        <v>132</v>
      </c>
      <c r="C16" s="18" t="s">
        <v>39</v>
      </c>
      <c r="D16" s="18" t="s">
        <v>133</v>
      </c>
      <c r="E16" s="18" t="s">
        <v>83</v>
      </c>
      <c r="F16" s="18"/>
      <c r="G16" s="18"/>
      <c r="H16" s="51"/>
      <c r="I16">
        <f t="shared" si="0"/>
        <v>1</v>
      </c>
      <c r="J16">
        <f t="shared" si="1"/>
        <v>0</v>
      </c>
    </row>
    <row r="17" spans="1:10" x14ac:dyDescent="0.35">
      <c r="A17" s="43" t="s">
        <v>7</v>
      </c>
      <c r="B17" s="44" t="s">
        <v>8</v>
      </c>
      <c r="C17" s="45" t="s">
        <v>9</v>
      </c>
      <c r="D17" s="44" t="s">
        <v>10</v>
      </c>
      <c r="E17" s="45" t="s">
        <v>83</v>
      </c>
      <c r="F17" s="39"/>
      <c r="G17" s="44"/>
      <c r="H17" s="39"/>
      <c r="I17">
        <f t="shared" si="0"/>
        <v>1</v>
      </c>
      <c r="J17">
        <f t="shared" si="1"/>
        <v>0</v>
      </c>
    </row>
    <row r="18" spans="1:10" x14ac:dyDescent="0.35">
      <c r="A18" s="2" t="s">
        <v>53</v>
      </c>
      <c r="B18" s="3" t="s">
        <v>54</v>
      </c>
      <c r="C18" s="4" t="s">
        <v>39</v>
      </c>
      <c r="D18" s="3" t="s">
        <v>55</v>
      </c>
      <c r="E18" s="4" t="s">
        <v>83</v>
      </c>
      <c r="F18" s="35"/>
      <c r="G18" s="3"/>
      <c r="H18" s="35"/>
      <c r="I18">
        <f t="shared" si="0"/>
        <v>1</v>
      </c>
      <c r="J18">
        <f t="shared" si="1"/>
        <v>0</v>
      </c>
    </row>
    <row r="19" spans="1:10" x14ac:dyDescent="0.35">
      <c r="A19" s="23" t="s">
        <v>11</v>
      </c>
      <c r="B19" s="27" t="s">
        <v>12</v>
      </c>
      <c r="C19" s="31" t="s">
        <v>9</v>
      </c>
      <c r="D19" s="34" t="s">
        <v>13</v>
      </c>
      <c r="E19" s="31" t="s">
        <v>83</v>
      </c>
      <c r="F19" s="39"/>
      <c r="G19" s="27"/>
      <c r="H19" s="39"/>
      <c r="I19">
        <f t="shared" si="0"/>
        <v>1</v>
      </c>
      <c r="J19">
        <f t="shared" si="1"/>
        <v>0</v>
      </c>
    </row>
    <row r="20" spans="1:10" x14ac:dyDescent="0.35">
      <c r="A20" s="19" t="s">
        <v>56</v>
      </c>
      <c r="B20" s="24" t="s">
        <v>57</v>
      </c>
      <c r="C20" s="28" t="s">
        <v>39</v>
      </c>
      <c r="D20" s="33" t="s">
        <v>58</v>
      </c>
      <c r="E20" s="28" t="s">
        <v>83</v>
      </c>
      <c r="F20" s="35"/>
      <c r="G20" s="24"/>
      <c r="H20" s="35"/>
      <c r="I20">
        <f t="shared" si="0"/>
        <v>1</v>
      </c>
      <c r="J20">
        <f t="shared" si="1"/>
        <v>0</v>
      </c>
    </row>
    <row r="21" spans="1:10" x14ac:dyDescent="0.35">
      <c r="A21" s="10" t="s">
        <v>24</v>
      </c>
      <c r="B21" s="10" t="s">
        <v>114</v>
      </c>
      <c r="C21" s="10" t="s">
        <v>19</v>
      </c>
      <c r="D21" s="10" t="s">
        <v>115</v>
      </c>
      <c r="E21" s="10" t="s">
        <v>83</v>
      </c>
      <c r="F21" s="48"/>
      <c r="G21" s="10"/>
      <c r="H21" s="48"/>
      <c r="I21">
        <f t="shared" si="0"/>
        <v>1</v>
      </c>
      <c r="J21">
        <f t="shared" si="1"/>
        <v>0</v>
      </c>
    </row>
    <row r="22" spans="1:10" x14ac:dyDescent="0.35">
      <c r="A22" s="22" t="s">
        <v>25</v>
      </c>
      <c r="B22" s="26" t="s">
        <v>26</v>
      </c>
      <c r="C22" s="30" t="s">
        <v>19</v>
      </c>
      <c r="D22" s="26" t="s">
        <v>27</v>
      </c>
      <c r="E22" s="30" t="s">
        <v>83</v>
      </c>
      <c r="F22" s="26"/>
      <c r="G22" s="26"/>
      <c r="H22" s="52"/>
      <c r="I22">
        <f t="shared" si="0"/>
        <v>1</v>
      </c>
      <c r="J22">
        <f t="shared" si="1"/>
        <v>0</v>
      </c>
    </row>
    <row r="23" spans="1:10" x14ac:dyDescent="0.35">
      <c r="A23" s="11" t="s">
        <v>134</v>
      </c>
      <c r="B23" s="11" t="s">
        <v>135</v>
      </c>
      <c r="C23" s="11" t="s">
        <v>39</v>
      </c>
      <c r="D23" s="11" t="s">
        <v>136</v>
      </c>
      <c r="E23" s="11" t="s">
        <v>83</v>
      </c>
      <c r="F23" s="51"/>
      <c r="G23" s="11" t="s">
        <v>160</v>
      </c>
      <c r="H23" s="51"/>
      <c r="I23">
        <f t="shared" si="0"/>
        <v>1</v>
      </c>
      <c r="J23">
        <f t="shared" si="1"/>
        <v>0</v>
      </c>
    </row>
    <row r="24" spans="1:10" x14ac:dyDescent="0.35">
      <c r="A24" s="22" t="s">
        <v>28</v>
      </c>
      <c r="B24" s="26" t="s">
        <v>29</v>
      </c>
      <c r="C24" s="30" t="s">
        <v>19</v>
      </c>
      <c r="D24" s="26" t="s">
        <v>30</v>
      </c>
      <c r="E24" s="30" t="s">
        <v>83</v>
      </c>
      <c r="F24" s="52"/>
      <c r="G24" s="26"/>
      <c r="H24" s="52"/>
      <c r="I24">
        <f t="shared" si="0"/>
        <v>1</v>
      </c>
      <c r="J24">
        <f t="shared" si="1"/>
        <v>0</v>
      </c>
    </row>
    <row r="25" spans="1:10" x14ac:dyDescent="0.35">
      <c r="A25" s="16" t="s">
        <v>146</v>
      </c>
      <c r="B25" s="16" t="s">
        <v>147</v>
      </c>
      <c r="C25" s="16" t="s">
        <v>64</v>
      </c>
      <c r="D25" s="16" t="s">
        <v>148</v>
      </c>
      <c r="E25" s="16" t="s">
        <v>83</v>
      </c>
      <c r="F25" s="49"/>
      <c r="G25" s="16"/>
      <c r="H25" s="49"/>
      <c r="I25">
        <f t="shared" si="0"/>
        <v>1</v>
      </c>
      <c r="J25">
        <f t="shared" si="1"/>
        <v>0</v>
      </c>
    </row>
    <row r="26" spans="1:10" x14ac:dyDescent="0.35">
      <c r="A26" s="21" t="s">
        <v>66</v>
      </c>
      <c r="B26" s="25" t="s">
        <v>67</v>
      </c>
      <c r="C26" s="29" t="s">
        <v>64</v>
      </c>
      <c r="D26" s="25" t="s">
        <v>68</v>
      </c>
      <c r="E26" s="29" t="s">
        <v>83</v>
      </c>
      <c r="F26" s="25"/>
      <c r="G26" s="25"/>
      <c r="H26" s="62"/>
      <c r="I26">
        <f t="shared" si="0"/>
        <v>1</v>
      </c>
      <c r="J26">
        <f t="shared" si="1"/>
        <v>0</v>
      </c>
    </row>
    <row r="27" spans="1:10" x14ac:dyDescent="0.35">
      <c r="A27" s="23" t="s">
        <v>14</v>
      </c>
      <c r="B27" s="27" t="s">
        <v>15</v>
      </c>
      <c r="C27" s="31" t="s">
        <v>9</v>
      </c>
      <c r="D27" s="34" t="s">
        <v>16</v>
      </c>
      <c r="E27" s="31" t="s">
        <v>83</v>
      </c>
      <c r="F27" s="39"/>
      <c r="G27" s="27" t="s">
        <v>84</v>
      </c>
      <c r="H27" s="39"/>
      <c r="I27">
        <f t="shared" si="0"/>
        <v>1</v>
      </c>
      <c r="J27">
        <f t="shared" si="1"/>
        <v>0</v>
      </c>
    </row>
    <row r="28" spans="1:10" x14ac:dyDescent="0.35">
      <c r="A28" s="14" t="s">
        <v>14</v>
      </c>
      <c r="B28" s="14" t="s">
        <v>97</v>
      </c>
      <c r="C28" s="14" t="s">
        <v>9</v>
      </c>
      <c r="D28" s="14" t="s">
        <v>98</v>
      </c>
      <c r="E28" s="14" t="s">
        <v>83</v>
      </c>
      <c r="F28" s="53"/>
      <c r="G28" s="27" t="s">
        <v>84</v>
      </c>
      <c r="H28" s="39"/>
      <c r="I28">
        <f t="shared" si="0"/>
        <v>1</v>
      </c>
      <c r="J28">
        <f t="shared" si="1"/>
        <v>0</v>
      </c>
    </row>
    <row r="29" spans="1:10" x14ac:dyDescent="0.35">
      <c r="A29" s="22" t="s">
        <v>34</v>
      </c>
      <c r="B29" s="26" t="s">
        <v>35</v>
      </c>
      <c r="C29" s="30" t="s">
        <v>19</v>
      </c>
      <c r="D29" s="26" t="s">
        <v>36</v>
      </c>
      <c r="E29" s="30" t="s">
        <v>83</v>
      </c>
      <c r="F29" s="52"/>
      <c r="G29" s="26"/>
      <c r="H29" s="52"/>
      <c r="I29">
        <f t="shared" si="0"/>
        <v>1</v>
      </c>
      <c r="J29">
        <f t="shared" si="1"/>
        <v>0</v>
      </c>
    </row>
    <row r="30" spans="1:10" x14ac:dyDescent="0.35">
      <c r="A30" s="11" t="s">
        <v>163</v>
      </c>
      <c r="B30" s="11" t="s">
        <v>164</v>
      </c>
      <c r="C30" s="11" t="s">
        <v>165</v>
      </c>
      <c r="D30" s="11" t="s">
        <v>166</v>
      </c>
      <c r="E30" s="11" t="s">
        <v>85</v>
      </c>
      <c r="F30" s="8" t="s">
        <v>575</v>
      </c>
      <c r="G30" s="11" t="s">
        <v>450</v>
      </c>
      <c r="H30" s="51"/>
      <c r="I30">
        <f t="shared" si="0"/>
        <v>1</v>
      </c>
      <c r="J30">
        <f t="shared" si="1"/>
        <v>1</v>
      </c>
    </row>
    <row r="31" spans="1:10" x14ac:dyDescent="0.35">
      <c r="A31" s="19" t="s">
        <v>41</v>
      </c>
      <c r="B31" s="24" t="s">
        <v>42</v>
      </c>
      <c r="C31" s="28" t="s">
        <v>39</v>
      </c>
      <c r="D31" s="24" t="s">
        <v>43</v>
      </c>
      <c r="E31" s="28" t="s">
        <v>85</v>
      </c>
      <c r="F31" s="47" t="s">
        <v>574</v>
      </c>
      <c r="G31" s="24" t="s">
        <v>86</v>
      </c>
      <c r="H31" s="35"/>
      <c r="I31">
        <f t="shared" si="0"/>
        <v>1</v>
      </c>
      <c r="J31">
        <f t="shared" si="1"/>
        <v>1</v>
      </c>
    </row>
    <row r="32" spans="1:10" x14ac:dyDescent="0.35">
      <c r="A32" s="11" t="s">
        <v>125</v>
      </c>
      <c r="B32" s="11" t="s">
        <v>126</v>
      </c>
      <c r="C32" s="11" t="s">
        <v>39</v>
      </c>
      <c r="D32" s="11" t="s">
        <v>127</v>
      </c>
      <c r="E32" s="11" t="s">
        <v>85</v>
      </c>
      <c r="F32" s="37" t="s">
        <v>571</v>
      </c>
      <c r="G32" s="11" t="s">
        <v>158</v>
      </c>
      <c r="H32" s="51"/>
      <c r="I32">
        <f t="shared" si="0"/>
        <v>1</v>
      </c>
      <c r="J32">
        <f t="shared" si="1"/>
        <v>1</v>
      </c>
    </row>
    <row r="33" spans="1:10" x14ac:dyDescent="0.35">
      <c r="A33" s="11" t="s">
        <v>167</v>
      </c>
      <c r="B33" s="11" t="s">
        <v>168</v>
      </c>
      <c r="C33" s="11" t="s">
        <v>165</v>
      </c>
      <c r="D33" s="11" t="s">
        <v>169</v>
      </c>
      <c r="E33" s="11" t="s">
        <v>85</v>
      </c>
      <c r="F33" s="47" t="s">
        <v>573</v>
      </c>
      <c r="G33" s="11"/>
      <c r="H33" s="51"/>
      <c r="I33">
        <f t="shared" si="0"/>
        <v>1</v>
      </c>
      <c r="J33">
        <f t="shared" si="1"/>
        <v>1</v>
      </c>
    </row>
    <row r="34" spans="1:10" x14ac:dyDescent="0.35">
      <c r="A34" s="11" t="s">
        <v>174</v>
      </c>
      <c r="B34" s="11" t="s">
        <v>175</v>
      </c>
      <c r="C34" s="11" t="s">
        <v>165</v>
      </c>
      <c r="D34" s="11" t="s">
        <v>176</v>
      </c>
      <c r="E34" s="11" t="s">
        <v>85</v>
      </c>
      <c r="F34" s="47" t="s">
        <v>572</v>
      </c>
      <c r="G34" s="11" t="s">
        <v>452</v>
      </c>
      <c r="H34" s="51"/>
      <c r="I34">
        <f t="shared" si="0"/>
        <v>1</v>
      </c>
      <c r="J34">
        <f t="shared" si="1"/>
        <v>1</v>
      </c>
    </row>
    <row r="35" spans="1:10" x14ac:dyDescent="0.35">
      <c r="A35" s="11" t="s">
        <v>177</v>
      </c>
      <c r="B35" s="11" t="s">
        <v>178</v>
      </c>
      <c r="C35" s="11" t="s">
        <v>165</v>
      </c>
      <c r="D35" s="11" t="s">
        <v>179</v>
      </c>
      <c r="E35" s="11" t="s">
        <v>85</v>
      </c>
      <c r="F35" s="37" t="s">
        <v>571</v>
      </c>
      <c r="G35" s="11" t="s">
        <v>453</v>
      </c>
      <c r="H35" s="51"/>
      <c r="I35">
        <f t="shared" si="0"/>
        <v>1</v>
      </c>
      <c r="J35">
        <f t="shared" si="1"/>
        <v>1</v>
      </c>
    </row>
    <row r="36" spans="1:10" x14ac:dyDescent="0.35">
      <c r="A36" s="11" t="s">
        <v>186</v>
      </c>
      <c r="B36" s="11" t="s">
        <v>187</v>
      </c>
      <c r="C36" s="11" t="s">
        <v>165</v>
      </c>
      <c r="D36" s="46" t="s">
        <v>188</v>
      </c>
      <c r="E36" s="11" t="s">
        <v>85</v>
      </c>
      <c r="F36" s="37" t="s">
        <v>549</v>
      </c>
      <c r="G36" s="11" t="s">
        <v>454</v>
      </c>
      <c r="H36" s="51"/>
      <c r="I36">
        <f t="shared" si="0"/>
        <v>1</v>
      </c>
      <c r="J36">
        <f t="shared" si="1"/>
        <v>1</v>
      </c>
    </row>
    <row r="37" spans="1:10" x14ac:dyDescent="0.35">
      <c r="A37" s="11" t="s">
        <v>192</v>
      </c>
      <c r="B37" s="11" t="s">
        <v>193</v>
      </c>
      <c r="C37" s="11" t="s">
        <v>165</v>
      </c>
      <c r="D37" s="11" t="s">
        <v>194</v>
      </c>
      <c r="E37" s="11" t="s">
        <v>85</v>
      </c>
      <c r="F37" s="8" t="s">
        <v>528</v>
      </c>
      <c r="G37" s="11" t="s">
        <v>455</v>
      </c>
      <c r="H37" s="51"/>
      <c r="I37">
        <f t="shared" si="0"/>
        <v>1</v>
      </c>
      <c r="J37">
        <f t="shared" si="1"/>
        <v>1</v>
      </c>
    </row>
    <row r="38" spans="1:10" x14ac:dyDescent="0.35">
      <c r="A38" s="11" t="s">
        <v>128</v>
      </c>
      <c r="B38" s="11" t="s">
        <v>129</v>
      </c>
      <c r="C38" s="11" t="s">
        <v>39</v>
      </c>
      <c r="D38" s="11" t="s">
        <v>130</v>
      </c>
      <c r="E38" s="11" t="s">
        <v>85</v>
      </c>
      <c r="F38" s="8" t="s">
        <v>570</v>
      </c>
      <c r="G38" s="11" t="s">
        <v>88</v>
      </c>
      <c r="H38" s="51"/>
      <c r="I38">
        <f t="shared" si="0"/>
        <v>1</v>
      </c>
      <c r="J38">
        <f t="shared" si="1"/>
        <v>1</v>
      </c>
    </row>
    <row r="39" spans="1:10" x14ac:dyDescent="0.35">
      <c r="A39" s="11" t="s">
        <v>204</v>
      </c>
      <c r="B39" s="11" t="s">
        <v>205</v>
      </c>
      <c r="C39" s="11" t="s">
        <v>165</v>
      </c>
      <c r="D39" s="11" t="s">
        <v>206</v>
      </c>
      <c r="E39" s="11" t="s">
        <v>85</v>
      </c>
      <c r="F39" s="37" t="s">
        <v>554</v>
      </c>
      <c r="G39" s="11" t="s">
        <v>462</v>
      </c>
      <c r="H39" s="51"/>
      <c r="I39">
        <f t="shared" si="0"/>
        <v>1</v>
      </c>
      <c r="J39">
        <f t="shared" si="1"/>
        <v>1</v>
      </c>
    </row>
    <row r="40" spans="1:10" x14ac:dyDescent="0.35">
      <c r="A40" s="10" t="s">
        <v>105</v>
      </c>
      <c r="B40" s="10" t="s">
        <v>106</v>
      </c>
      <c r="C40" s="10" t="s">
        <v>19</v>
      </c>
      <c r="D40" s="10" t="s">
        <v>107</v>
      </c>
      <c r="E40" s="10" t="s">
        <v>85</v>
      </c>
      <c r="F40" s="47" t="s">
        <v>569</v>
      </c>
      <c r="G40" s="10" t="s">
        <v>151</v>
      </c>
      <c r="H40" s="48"/>
      <c r="I40">
        <f t="shared" si="0"/>
        <v>1</v>
      </c>
      <c r="J40">
        <f t="shared" si="1"/>
        <v>1</v>
      </c>
    </row>
    <row r="41" spans="1:10" x14ac:dyDescent="0.35">
      <c r="A41" s="10" t="s">
        <v>108</v>
      </c>
      <c r="B41" s="10" t="s">
        <v>109</v>
      </c>
      <c r="C41" s="10" t="s">
        <v>19</v>
      </c>
      <c r="D41" s="10" t="s">
        <v>110</v>
      </c>
      <c r="E41" s="10" t="s">
        <v>85</v>
      </c>
      <c r="F41" s="8" t="s">
        <v>568</v>
      </c>
      <c r="G41" s="10" t="s">
        <v>152</v>
      </c>
      <c r="H41" s="48"/>
      <c r="I41">
        <f t="shared" si="0"/>
        <v>1</v>
      </c>
      <c r="J41">
        <f t="shared" si="1"/>
        <v>1</v>
      </c>
    </row>
    <row r="42" spans="1:10" x14ac:dyDescent="0.35">
      <c r="A42" s="22" t="s">
        <v>21</v>
      </c>
      <c r="B42" s="26" t="s">
        <v>22</v>
      </c>
      <c r="C42" s="30" t="s">
        <v>19</v>
      </c>
      <c r="D42" s="26" t="s">
        <v>23</v>
      </c>
      <c r="E42" s="30" t="s">
        <v>85</v>
      </c>
      <c r="F42" s="37" t="s">
        <v>567</v>
      </c>
      <c r="G42" s="26" t="s">
        <v>89</v>
      </c>
      <c r="H42" s="52"/>
      <c r="I42">
        <f t="shared" si="0"/>
        <v>1</v>
      </c>
      <c r="J42">
        <f t="shared" si="1"/>
        <v>1</v>
      </c>
    </row>
    <row r="43" spans="1:10" x14ac:dyDescent="0.35">
      <c r="A43" s="10" t="s">
        <v>111</v>
      </c>
      <c r="B43" s="10" t="s">
        <v>112</v>
      </c>
      <c r="C43" s="10" t="s">
        <v>19</v>
      </c>
      <c r="D43" s="10" t="s">
        <v>113</v>
      </c>
      <c r="E43" s="10" t="s">
        <v>85</v>
      </c>
      <c r="F43" s="37" t="s">
        <v>566</v>
      </c>
      <c r="G43" s="10" t="s">
        <v>153</v>
      </c>
      <c r="H43" s="48"/>
      <c r="I43">
        <f t="shared" si="0"/>
        <v>1</v>
      </c>
      <c r="J43">
        <f t="shared" si="1"/>
        <v>1</v>
      </c>
    </row>
    <row r="44" spans="1:10" x14ac:dyDescent="0.35">
      <c r="A44" s="11" t="s">
        <v>137</v>
      </c>
      <c r="B44" s="11" t="s">
        <v>138</v>
      </c>
      <c r="C44" s="11" t="s">
        <v>39</v>
      </c>
      <c r="D44" s="11" t="s">
        <v>139</v>
      </c>
      <c r="E44" s="11" t="s">
        <v>85</v>
      </c>
      <c r="F44" s="47" t="s">
        <v>565</v>
      </c>
      <c r="G44" s="11" t="s">
        <v>161</v>
      </c>
      <c r="H44" s="51"/>
      <c r="I44">
        <f t="shared" si="0"/>
        <v>1</v>
      </c>
      <c r="J44">
        <f t="shared" si="1"/>
        <v>1</v>
      </c>
    </row>
    <row r="45" spans="1:10" x14ac:dyDescent="0.35">
      <c r="A45" s="10" t="s">
        <v>116</v>
      </c>
      <c r="B45" s="10" t="s">
        <v>117</v>
      </c>
      <c r="C45" s="10" t="s">
        <v>19</v>
      </c>
      <c r="D45" s="10" t="s">
        <v>118</v>
      </c>
      <c r="E45" s="10" t="s">
        <v>85</v>
      </c>
      <c r="F45" s="37" t="s">
        <v>564</v>
      </c>
      <c r="G45" s="10" t="s">
        <v>154</v>
      </c>
      <c r="H45" s="48"/>
      <c r="I45">
        <f t="shared" si="0"/>
        <v>1</v>
      </c>
      <c r="J45">
        <f t="shared" si="1"/>
        <v>1</v>
      </c>
    </row>
    <row r="46" spans="1:10" x14ac:dyDescent="0.35">
      <c r="A46" s="11" t="s">
        <v>140</v>
      </c>
      <c r="B46" s="11" t="s">
        <v>141</v>
      </c>
      <c r="C46" s="11" t="s">
        <v>39</v>
      </c>
      <c r="D46" s="11" t="s">
        <v>142</v>
      </c>
      <c r="E46" s="11" t="s">
        <v>85</v>
      </c>
      <c r="F46" s="47" t="s">
        <v>563</v>
      </c>
      <c r="G46" s="11" t="s">
        <v>162</v>
      </c>
      <c r="H46" s="51"/>
      <c r="I46">
        <f t="shared" si="0"/>
        <v>1</v>
      </c>
      <c r="J46">
        <f t="shared" si="1"/>
        <v>1</v>
      </c>
    </row>
    <row r="47" spans="1:10" x14ac:dyDescent="0.35">
      <c r="A47" s="21" t="s">
        <v>62</v>
      </c>
      <c r="B47" s="25" t="s">
        <v>63</v>
      </c>
      <c r="C47" s="29" t="s">
        <v>64</v>
      </c>
      <c r="D47" s="25" t="s">
        <v>65</v>
      </c>
      <c r="E47" s="29" t="s">
        <v>85</v>
      </c>
      <c r="F47" s="37" t="s">
        <v>562</v>
      </c>
      <c r="G47" s="25" t="s">
        <v>88</v>
      </c>
      <c r="H47" s="62"/>
      <c r="I47">
        <f t="shared" si="0"/>
        <v>1</v>
      </c>
      <c r="J47">
        <f t="shared" si="1"/>
        <v>1</v>
      </c>
    </row>
    <row r="48" spans="1:10" x14ac:dyDescent="0.35">
      <c r="A48" s="10" t="s">
        <v>119</v>
      </c>
      <c r="B48" s="10" t="s">
        <v>120</v>
      </c>
      <c r="C48" s="10" t="s">
        <v>19</v>
      </c>
      <c r="D48" s="10" t="s">
        <v>121</v>
      </c>
      <c r="E48" s="10" t="s">
        <v>156</v>
      </c>
      <c r="F48" s="37" t="s">
        <v>576</v>
      </c>
      <c r="G48" s="10" t="s">
        <v>155</v>
      </c>
      <c r="H48" s="48"/>
      <c r="I48">
        <f t="shared" si="0"/>
        <v>1</v>
      </c>
      <c r="J48">
        <f t="shared" si="1"/>
        <v>1</v>
      </c>
    </row>
    <row r="49" spans="1:10" x14ac:dyDescent="0.35">
      <c r="A49" s="14" t="s">
        <v>91</v>
      </c>
      <c r="B49" s="14" t="s">
        <v>92</v>
      </c>
      <c r="C49" s="14" t="s">
        <v>9</v>
      </c>
      <c r="D49" s="14" t="s">
        <v>93</v>
      </c>
      <c r="E49" s="14" t="s">
        <v>85</v>
      </c>
      <c r="F49" s="37" t="s">
        <v>561</v>
      </c>
      <c r="G49" s="14" t="s">
        <v>149</v>
      </c>
      <c r="H49" s="53"/>
      <c r="I49">
        <f t="shared" si="0"/>
        <v>1</v>
      </c>
      <c r="J49">
        <f t="shared" si="1"/>
        <v>1</v>
      </c>
    </row>
    <row r="50" spans="1:10" x14ac:dyDescent="0.35">
      <c r="A50" s="22" t="s">
        <v>31</v>
      </c>
      <c r="B50" s="26" t="s">
        <v>32</v>
      </c>
      <c r="C50" s="30" t="s">
        <v>19</v>
      </c>
      <c r="D50" s="26" t="s">
        <v>33</v>
      </c>
      <c r="E50" s="30" t="s">
        <v>85</v>
      </c>
      <c r="F50" s="37" t="s">
        <v>560</v>
      </c>
      <c r="G50" s="26" t="s">
        <v>90</v>
      </c>
      <c r="H50" s="52"/>
      <c r="I50">
        <f t="shared" si="0"/>
        <v>1</v>
      </c>
      <c r="J50">
        <f t="shared" si="1"/>
        <v>1</v>
      </c>
    </row>
    <row r="51" spans="1:10" x14ac:dyDescent="0.35">
      <c r="A51" s="14" t="s">
        <v>94</v>
      </c>
      <c r="B51" s="14" t="s">
        <v>95</v>
      </c>
      <c r="C51" s="14" t="s">
        <v>9</v>
      </c>
      <c r="D51" s="14" t="s">
        <v>96</v>
      </c>
      <c r="E51" s="14" t="s">
        <v>85</v>
      </c>
      <c r="F51" s="37" t="s">
        <v>559</v>
      </c>
      <c r="G51" s="14" t="s">
        <v>149</v>
      </c>
      <c r="H51" s="53"/>
      <c r="I51">
        <f t="shared" si="0"/>
        <v>1</v>
      </c>
      <c r="J51">
        <f t="shared" si="1"/>
        <v>1</v>
      </c>
    </row>
    <row r="52" spans="1:10" x14ac:dyDescent="0.35">
      <c r="A52" s="10" t="s">
        <v>122</v>
      </c>
      <c r="B52" s="10" t="s">
        <v>123</v>
      </c>
      <c r="C52" s="10" t="s">
        <v>19</v>
      </c>
      <c r="D52" s="10" t="s">
        <v>124</v>
      </c>
      <c r="E52" s="10" t="s">
        <v>156</v>
      </c>
      <c r="F52" s="37" t="s">
        <v>558</v>
      </c>
      <c r="G52" s="10" t="s">
        <v>157</v>
      </c>
      <c r="H52" s="48"/>
      <c r="I52">
        <f t="shared" si="0"/>
        <v>1</v>
      </c>
      <c r="J52">
        <f t="shared" si="1"/>
        <v>1</v>
      </c>
    </row>
    <row r="53" spans="1:10" x14ac:dyDescent="0.35">
      <c r="A53" s="19" t="s">
        <v>59</v>
      </c>
      <c r="B53" s="24" t="s">
        <v>60</v>
      </c>
      <c r="C53" s="28" t="s">
        <v>39</v>
      </c>
      <c r="D53" s="33" t="s">
        <v>61</v>
      </c>
      <c r="E53" s="28" t="s">
        <v>85</v>
      </c>
      <c r="F53" s="37" t="s">
        <v>557</v>
      </c>
      <c r="G53" s="24" t="s">
        <v>87</v>
      </c>
      <c r="H53" s="35"/>
      <c r="I53">
        <f t="shared" si="0"/>
        <v>1</v>
      </c>
      <c r="J53">
        <f t="shared" si="1"/>
        <v>1</v>
      </c>
    </row>
    <row r="54" spans="1:10" x14ac:dyDescent="0.35">
      <c r="A54" s="14" t="s">
        <v>99</v>
      </c>
      <c r="B54" s="14" t="s">
        <v>100</v>
      </c>
      <c r="C54" s="14" t="s">
        <v>9</v>
      </c>
      <c r="D54" s="14" t="s">
        <v>101</v>
      </c>
      <c r="E54" s="14" t="s">
        <v>85</v>
      </c>
      <c r="F54" s="37" t="s">
        <v>556</v>
      </c>
      <c r="G54" s="14" t="s">
        <v>150</v>
      </c>
      <c r="H54" s="53"/>
      <c r="I54">
        <f t="shared" si="0"/>
        <v>1</v>
      </c>
      <c r="J54">
        <f t="shared" si="1"/>
        <v>1</v>
      </c>
    </row>
    <row r="55" spans="1:10" x14ac:dyDescent="0.35">
      <c r="A55" s="11" t="s">
        <v>210</v>
      </c>
      <c r="B55" s="11" t="s">
        <v>211</v>
      </c>
      <c r="C55" s="11" t="s">
        <v>165</v>
      </c>
      <c r="D55" s="11" t="s">
        <v>212</v>
      </c>
      <c r="E55" s="11" t="s">
        <v>85</v>
      </c>
      <c r="F55" s="8" t="s">
        <v>555</v>
      </c>
      <c r="G55" s="11" t="s">
        <v>461</v>
      </c>
      <c r="H55" s="51"/>
      <c r="I55">
        <f t="shared" si="0"/>
        <v>1</v>
      </c>
      <c r="J55">
        <f t="shared" si="1"/>
        <v>1</v>
      </c>
    </row>
    <row r="56" spans="1:10" x14ac:dyDescent="0.35">
      <c r="A56" s="11" t="s">
        <v>213</v>
      </c>
      <c r="B56" s="11" t="s">
        <v>214</v>
      </c>
      <c r="C56" s="11" t="s">
        <v>165</v>
      </c>
      <c r="D56" s="11" t="s">
        <v>206</v>
      </c>
      <c r="E56" s="11" t="s">
        <v>85</v>
      </c>
      <c r="F56" s="37" t="s">
        <v>554</v>
      </c>
      <c r="G56" s="11" t="s">
        <v>462</v>
      </c>
      <c r="H56" s="51"/>
      <c r="I56">
        <f t="shared" si="0"/>
        <v>1</v>
      </c>
      <c r="J56">
        <f t="shared" si="1"/>
        <v>1</v>
      </c>
    </row>
    <row r="57" spans="1:10" x14ac:dyDescent="0.35">
      <c r="A57" s="11" t="s">
        <v>215</v>
      </c>
      <c r="B57" s="11" t="s">
        <v>216</v>
      </c>
      <c r="C57" s="11" t="s">
        <v>165</v>
      </c>
      <c r="D57" s="46" t="s">
        <v>217</v>
      </c>
      <c r="E57" s="11" t="s">
        <v>83</v>
      </c>
      <c r="F57" s="12"/>
      <c r="G57" s="11"/>
      <c r="H57" s="51"/>
      <c r="I57">
        <f t="shared" si="0"/>
        <v>1</v>
      </c>
      <c r="J57">
        <f t="shared" si="1"/>
        <v>0</v>
      </c>
    </row>
    <row r="58" spans="1:10" x14ac:dyDescent="0.35">
      <c r="A58" s="11" t="s">
        <v>218</v>
      </c>
      <c r="B58" s="11" t="s">
        <v>219</v>
      </c>
      <c r="C58" s="11" t="s">
        <v>165</v>
      </c>
      <c r="D58" s="11" t="s">
        <v>220</v>
      </c>
      <c r="E58" s="11" t="s">
        <v>85</v>
      </c>
      <c r="F58" s="8" t="s">
        <v>553</v>
      </c>
      <c r="G58" s="11" t="s">
        <v>463</v>
      </c>
      <c r="H58" s="51"/>
      <c r="I58">
        <f>IF(ISBLANK(E58),0,1)</f>
        <v>1</v>
      </c>
      <c r="J58">
        <f t="shared" si="1"/>
        <v>1</v>
      </c>
    </row>
    <row r="59" spans="1:10" x14ac:dyDescent="0.35">
      <c r="A59" s="11" t="s">
        <v>221</v>
      </c>
      <c r="B59" s="11" t="s">
        <v>222</v>
      </c>
      <c r="C59" s="11" t="s">
        <v>165</v>
      </c>
      <c r="D59" s="46" t="s">
        <v>223</v>
      </c>
      <c r="E59" s="54" t="s">
        <v>83</v>
      </c>
      <c r="F59" s="12"/>
      <c r="G59" s="11"/>
      <c r="H59" s="51"/>
      <c r="I59">
        <f>IF(ISBLANK(E60),0,1)</f>
        <v>1</v>
      </c>
      <c r="J59">
        <f t="shared" si="1"/>
        <v>0</v>
      </c>
    </row>
    <row r="60" spans="1:10" x14ac:dyDescent="0.35">
      <c r="A60" s="11" t="s">
        <v>224</v>
      </c>
      <c r="B60" s="11" t="s">
        <v>225</v>
      </c>
      <c r="C60" s="11" t="s">
        <v>165</v>
      </c>
      <c r="D60" s="11" t="s">
        <v>226</v>
      </c>
      <c r="E60" s="11" t="s">
        <v>83</v>
      </c>
      <c r="F60" s="12"/>
      <c r="G60" s="11"/>
      <c r="H60" s="51"/>
      <c r="I60">
        <f>IF(ISBLANK(#REF!),0,1)</f>
        <v>1</v>
      </c>
      <c r="J60">
        <f t="shared" si="1"/>
        <v>0</v>
      </c>
    </row>
    <row r="61" spans="1:10" x14ac:dyDescent="0.35">
      <c r="A61" s="11" t="s">
        <v>227</v>
      </c>
      <c r="B61" s="11" t="s">
        <v>228</v>
      </c>
      <c r="C61" s="11" t="s">
        <v>165</v>
      </c>
      <c r="D61" s="11" t="s">
        <v>229</v>
      </c>
      <c r="E61" s="11" t="s">
        <v>83</v>
      </c>
      <c r="F61" s="12"/>
      <c r="G61" s="11"/>
      <c r="H61" s="51"/>
      <c r="I61">
        <f t="shared" si="0"/>
        <v>1</v>
      </c>
      <c r="J61">
        <f t="shared" si="1"/>
        <v>0</v>
      </c>
    </row>
    <row r="62" spans="1:10" x14ac:dyDescent="0.35">
      <c r="A62" s="11" t="s">
        <v>230</v>
      </c>
      <c r="B62" s="11" t="s">
        <v>231</v>
      </c>
      <c r="C62" s="11" t="s">
        <v>165</v>
      </c>
      <c r="D62" s="11" t="s">
        <v>188</v>
      </c>
      <c r="E62" s="11" t="s">
        <v>85</v>
      </c>
      <c r="F62" s="37" t="s">
        <v>549</v>
      </c>
      <c r="G62" s="11" t="s">
        <v>464</v>
      </c>
      <c r="H62" s="51"/>
      <c r="I62">
        <f t="shared" si="0"/>
        <v>1</v>
      </c>
      <c r="J62">
        <f t="shared" si="1"/>
        <v>1</v>
      </c>
    </row>
    <row r="63" spans="1:10" x14ac:dyDescent="0.35">
      <c r="A63" s="16" t="s">
        <v>232</v>
      </c>
      <c r="B63" s="16" t="s">
        <v>233</v>
      </c>
      <c r="C63" s="16" t="s">
        <v>64</v>
      </c>
      <c r="D63" s="55" t="s">
        <v>234</v>
      </c>
      <c r="E63" s="16" t="s">
        <v>85</v>
      </c>
      <c r="F63" s="8" t="s">
        <v>552</v>
      </c>
      <c r="G63" s="16" t="s">
        <v>465</v>
      </c>
      <c r="H63" s="8" t="s">
        <v>523</v>
      </c>
      <c r="I63">
        <f t="shared" si="0"/>
        <v>1</v>
      </c>
      <c r="J63">
        <f t="shared" si="1"/>
        <v>1</v>
      </c>
    </row>
    <row r="64" spans="1:10" x14ac:dyDescent="0.35">
      <c r="A64" s="11" t="s">
        <v>235</v>
      </c>
      <c r="B64" s="11" t="s">
        <v>236</v>
      </c>
      <c r="C64" s="11" t="s">
        <v>165</v>
      </c>
      <c r="D64" s="11" t="s">
        <v>200</v>
      </c>
      <c r="E64" s="11" t="s">
        <v>83</v>
      </c>
      <c r="F64" s="12"/>
      <c r="G64" s="11"/>
      <c r="H64" s="51"/>
      <c r="I64">
        <f t="shared" si="0"/>
        <v>1</v>
      </c>
      <c r="J64">
        <f t="shared" si="1"/>
        <v>0</v>
      </c>
    </row>
    <row r="65" spans="1:10" x14ac:dyDescent="0.35">
      <c r="A65" s="10" t="s">
        <v>17</v>
      </c>
      <c r="B65" s="10" t="s">
        <v>18</v>
      </c>
      <c r="C65" s="10" t="s">
        <v>172</v>
      </c>
      <c r="D65" s="10" t="s">
        <v>20</v>
      </c>
      <c r="E65" s="10" t="s">
        <v>83</v>
      </c>
      <c r="F65" s="13"/>
      <c r="G65" s="10" t="s">
        <v>466</v>
      </c>
      <c r="H65" s="48"/>
      <c r="I65">
        <f t="shared" si="0"/>
        <v>1</v>
      </c>
      <c r="J65">
        <f t="shared" si="1"/>
        <v>0</v>
      </c>
    </row>
    <row r="66" spans="1:10" x14ac:dyDescent="0.35">
      <c r="A66" s="11" t="s">
        <v>237</v>
      </c>
      <c r="B66" s="11" t="s">
        <v>238</v>
      </c>
      <c r="C66" s="11" t="s">
        <v>165</v>
      </c>
      <c r="D66" s="11" t="s">
        <v>239</v>
      </c>
      <c r="E66" s="11" t="s">
        <v>83</v>
      </c>
      <c r="F66" s="12"/>
      <c r="G66" s="11" t="s">
        <v>467</v>
      </c>
      <c r="H66" s="51"/>
      <c r="I66">
        <f t="shared" si="0"/>
        <v>1</v>
      </c>
      <c r="J66">
        <f t="shared" si="1"/>
        <v>0</v>
      </c>
    </row>
    <row r="67" spans="1:10" x14ac:dyDescent="0.35">
      <c r="A67" s="11" t="s">
        <v>240</v>
      </c>
      <c r="B67" s="11" t="s">
        <v>241</v>
      </c>
      <c r="C67" s="11" t="s">
        <v>165</v>
      </c>
      <c r="D67" s="11" t="s">
        <v>242</v>
      </c>
      <c r="E67" s="11" t="s">
        <v>85</v>
      </c>
      <c r="F67" s="8" t="s">
        <v>543</v>
      </c>
      <c r="G67" s="11" t="s">
        <v>468</v>
      </c>
      <c r="H67" s="51"/>
      <c r="I67">
        <f t="shared" ref="I67:I130" si="2">IF(ISBLANK(E67),0,1)</f>
        <v>1</v>
      </c>
      <c r="J67">
        <f t="shared" ref="J67:J130" si="3">IF(ISBLANK(F67),0,1)</f>
        <v>1</v>
      </c>
    </row>
    <row r="68" spans="1:10" x14ac:dyDescent="0.35">
      <c r="A68" s="14" t="s">
        <v>243</v>
      </c>
      <c r="B68" s="14" t="s">
        <v>244</v>
      </c>
      <c r="C68" s="14" t="s">
        <v>9</v>
      </c>
      <c r="D68" s="14" t="s">
        <v>245</v>
      </c>
      <c r="E68" s="14" t="s">
        <v>85</v>
      </c>
      <c r="F68" s="8" t="s">
        <v>551</v>
      </c>
      <c r="G68" s="14" t="s">
        <v>469</v>
      </c>
      <c r="H68" s="53"/>
      <c r="I68">
        <f t="shared" si="2"/>
        <v>1</v>
      </c>
      <c r="J68">
        <f t="shared" si="3"/>
        <v>1</v>
      </c>
    </row>
    <row r="69" spans="1:10" x14ac:dyDescent="0.35">
      <c r="A69" s="10" t="s">
        <v>246</v>
      </c>
      <c r="B69" s="10" t="s">
        <v>247</v>
      </c>
      <c r="C69" s="10" t="s">
        <v>172</v>
      </c>
      <c r="D69" s="56" t="s">
        <v>248</v>
      </c>
      <c r="E69" s="10" t="s">
        <v>85</v>
      </c>
      <c r="F69" s="8" t="s">
        <v>550</v>
      </c>
      <c r="G69" s="10" t="s">
        <v>470</v>
      </c>
      <c r="H69" s="48"/>
      <c r="I69">
        <f t="shared" si="2"/>
        <v>1</v>
      </c>
      <c r="J69">
        <f t="shared" si="3"/>
        <v>1</v>
      </c>
    </row>
    <row r="70" spans="1:10" x14ac:dyDescent="0.35">
      <c r="A70" s="11" t="s">
        <v>249</v>
      </c>
      <c r="B70" s="11" t="s">
        <v>250</v>
      </c>
      <c r="C70" s="11" t="s">
        <v>165</v>
      </c>
      <c r="D70" s="11" t="s">
        <v>251</v>
      </c>
      <c r="E70" s="11" t="s">
        <v>85</v>
      </c>
      <c r="F70" s="8" t="s">
        <v>471</v>
      </c>
      <c r="G70" s="11" t="s">
        <v>472</v>
      </c>
      <c r="H70" s="51"/>
      <c r="I70">
        <f t="shared" si="2"/>
        <v>1</v>
      </c>
      <c r="J70">
        <f t="shared" si="3"/>
        <v>1</v>
      </c>
    </row>
    <row r="71" spans="1:10" x14ac:dyDescent="0.35">
      <c r="A71" s="11" t="s">
        <v>252</v>
      </c>
      <c r="B71" s="11" t="s">
        <v>253</v>
      </c>
      <c r="C71" s="11" t="s">
        <v>165</v>
      </c>
      <c r="D71" s="11" t="s">
        <v>188</v>
      </c>
      <c r="E71" s="11" t="s">
        <v>85</v>
      </c>
      <c r="F71" s="37" t="s">
        <v>549</v>
      </c>
      <c r="G71" s="11" t="s">
        <v>473</v>
      </c>
      <c r="H71" s="51"/>
      <c r="I71">
        <f t="shared" si="2"/>
        <v>1</v>
      </c>
      <c r="J71">
        <f t="shared" si="3"/>
        <v>1</v>
      </c>
    </row>
    <row r="72" spans="1:10" x14ac:dyDescent="0.35">
      <c r="A72" s="11" t="s">
        <v>254</v>
      </c>
      <c r="B72" s="11" t="s">
        <v>255</v>
      </c>
      <c r="C72" s="11" t="s">
        <v>165</v>
      </c>
      <c r="D72" s="11" t="s">
        <v>256</v>
      </c>
      <c r="E72" s="11" t="s">
        <v>83</v>
      </c>
      <c r="F72" s="12"/>
      <c r="G72" s="11"/>
      <c r="H72" s="51"/>
      <c r="I72">
        <f t="shared" si="2"/>
        <v>1</v>
      </c>
      <c r="J72">
        <f t="shared" si="3"/>
        <v>0</v>
      </c>
    </row>
    <row r="73" spans="1:10" x14ac:dyDescent="0.35">
      <c r="A73" s="10" t="s">
        <v>257</v>
      </c>
      <c r="B73" s="10" t="s">
        <v>258</v>
      </c>
      <c r="C73" s="10" t="s">
        <v>172</v>
      </c>
      <c r="D73" s="56" t="s">
        <v>259</v>
      </c>
      <c r="E73" s="10" t="s">
        <v>83</v>
      </c>
      <c r="F73" s="13"/>
      <c r="G73" s="10"/>
      <c r="H73" s="48"/>
      <c r="I73">
        <f t="shared" si="2"/>
        <v>1</v>
      </c>
      <c r="J73">
        <f t="shared" si="3"/>
        <v>0</v>
      </c>
    </row>
    <row r="74" spans="1:10" x14ac:dyDescent="0.35">
      <c r="A74" s="11" t="s">
        <v>260</v>
      </c>
      <c r="B74" s="11" t="s">
        <v>261</v>
      </c>
      <c r="C74" s="11" t="s">
        <v>165</v>
      </c>
      <c r="D74" s="46" t="s">
        <v>262</v>
      </c>
      <c r="E74" s="11" t="s">
        <v>85</v>
      </c>
      <c r="F74" s="8" t="s">
        <v>548</v>
      </c>
      <c r="G74" s="11" t="s">
        <v>474</v>
      </c>
      <c r="H74" s="51"/>
      <c r="I74">
        <f t="shared" si="2"/>
        <v>1</v>
      </c>
      <c r="J74">
        <f t="shared" si="3"/>
        <v>1</v>
      </c>
    </row>
    <row r="75" spans="1:10" x14ac:dyDescent="0.35">
      <c r="A75" s="11" t="s">
        <v>263</v>
      </c>
      <c r="B75" s="11" t="s">
        <v>264</v>
      </c>
      <c r="C75" s="11" t="s">
        <v>165</v>
      </c>
      <c r="D75" s="11" t="s">
        <v>265</v>
      </c>
      <c r="E75" s="11" t="s">
        <v>83</v>
      </c>
      <c r="F75" s="12"/>
      <c r="G75" s="11"/>
      <c r="H75" s="51"/>
      <c r="I75">
        <f t="shared" si="2"/>
        <v>1</v>
      </c>
      <c r="J75">
        <f t="shared" si="3"/>
        <v>0</v>
      </c>
    </row>
    <row r="76" spans="1:10" x14ac:dyDescent="0.35">
      <c r="A76" s="11" t="s">
        <v>266</v>
      </c>
      <c r="B76" s="11" t="s">
        <v>267</v>
      </c>
      <c r="C76" s="11" t="s">
        <v>165</v>
      </c>
      <c r="D76" s="11" t="s">
        <v>268</v>
      </c>
      <c r="E76" s="11" t="s">
        <v>83</v>
      </c>
      <c r="F76" s="12"/>
      <c r="G76" s="11"/>
      <c r="H76" s="51"/>
      <c r="I76">
        <f t="shared" si="2"/>
        <v>1</v>
      </c>
      <c r="J76">
        <f t="shared" si="3"/>
        <v>0</v>
      </c>
    </row>
    <row r="77" spans="1:10" x14ac:dyDescent="0.35">
      <c r="A77" s="10" t="s">
        <v>269</v>
      </c>
      <c r="B77" s="10" t="s">
        <v>270</v>
      </c>
      <c r="C77" s="10" t="s">
        <v>172</v>
      </c>
      <c r="D77" s="10" t="s">
        <v>271</v>
      </c>
      <c r="E77" s="10" t="s">
        <v>83</v>
      </c>
      <c r="F77" s="13"/>
      <c r="G77" s="10"/>
      <c r="H77" s="48"/>
      <c r="I77">
        <f t="shared" si="2"/>
        <v>1</v>
      </c>
      <c r="J77">
        <f t="shared" si="3"/>
        <v>0</v>
      </c>
    </row>
    <row r="78" spans="1:10" x14ac:dyDescent="0.35">
      <c r="A78" s="14" t="s">
        <v>272</v>
      </c>
      <c r="B78" s="14" t="s">
        <v>273</v>
      </c>
      <c r="C78" s="14" t="s">
        <v>9</v>
      </c>
      <c r="D78" s="14" t="s">
        <v>274</v>
      </c>
      <c r="E78" s="57" t="s">
        <v>83</v>
      </c>
      <c r="F78" s="15"/>
      <c r="G78" s="8" t="s">
        <v>475</v>
      </c>
      <c r="H78" s="8"/>
      <c r="I78">
        <f t="shared" si="2"/>
        <v>1</v>
      </c>
      <c r="J78">
        <f t="shared" si="3"/>
        <v>0</v>
      </c>
    </row>
    <row r="79" spans="1:10" x14ac:dyDescent="0.35">
      <c r="A79" s="10" t="s">
        <v>275</v>
      </c>
      <c r="B79" s="10" t="s">
        <v>276</v>
      </c>
      <c r="C79" s="10" t="s">
        <v>172</v>
      </c>
      <c r="D79" s="56" t="s">
        <v>277</v>
      </c>
      <c r="E79" s="58" t="s">
        <v>83</v>
      </c>
      <c r="F79" s="13"/>
      <c r="G79" s="10"/>
      <c r="H79" s="48"/>
      <c r="I79">
        <f t="shared" si="2"/>
        <v>1</v>
      </c>
      <c r="J79">
        <f t="shared" si="3"/>
        <v>0</v>
      </c>
    </row>
    <row r="80" spans="1:10" x14ac:dyDescent="0.35">
      <c r="A80" s="16" t="s">
        <v>278</v>
      </c>
      <c r="B80" s="16" t="s">
        <v>279</v>
      </c>
      <c r="C80" s="16" t="s">
        <v>64</v>
      </c>
      <c r="D80" s="16" t="s">
        <v>280</v>
      </c>
      <c r="E80" s="59" t="s">
        <v>85</v>
      </c>
      <c r="F80" s="8" t="s">
        <v>476</v>
      </c>
      <c r="G80" s="59" t="s">
        <v>477</v>
      </c>
      <c r="H80" s="63"/>
      <c r="I80">
        <f t="shared" si="2"/>
        <v>1</v>
      </c>
      <c r="J80">
        <f t="shared" si="3"/>
        <v>1</v>
      </c>
    </row>
    <row r="81" spans="1:10" x14ac:dyDescent="0.35">
      <c r="A81" s="11" t="s">
        <v>281</v>
      </c>
      <c r="B81" s="11" t="s">
        <v>282</v>
      </c>
      <c r="C81" s="11" t="s">
        <v>165</v>
      </c>
      <c r="D81" s="11" t="s">
        <v>283</v>
      </c>
      <c r="E81" s="60" t="s">
        <v>83</v>
      </c>
      <c r="F81" s="12"/>
      <c r="G81" s="11"/>
      <c r="H81" s="51"/>
      <c r="I81">
        <f t="shared" si="2"/>
        <v>1</v>
      </c>
      <c r="J81">
        <f t="shared" si="3"/>
        <v>0</v>
      </c>
    </row>
    <row r="82" spans="1:10" x14ac:dyDescent="0.35">
      <c r="A82" s="16" t="s">
        <v>284</v>
      </c>
      <c r="B82" s="16" t="s">
        <v>285</v>
      </c>
      <c r="C82" s="16" t="s">
        <v>64</v>
      </c>
      <c r="D82" s="16" t="s">
        <v>286</v>
      </c>
      <c r="E82" s="59" t="s">
        <v>85</v>
      </c>
      <c r="F82" s="8" t="s">
        <v>547</v>
      </c>
      <c r="G82" s="59" t="s">
        <v>478</v>
      </c>
      <c r="H82" s="63"/>
      <c r="I82">
        <f t="shared" si="2"/>
        <v>1</v>
      </c>
      <c r="J82">
        <f t="shared" si="3"/>
        <v>1</v>
      </c>
    </row>
    <row r="83" spans="1:10" x14ac:dyDescent="0.35">
      <c r="A83" s="10" t="s">
        <v>287</v>
      </c>
      <c r="B83" s="10" t="s">
        <v>288</v>
      </c>
      <c r="C83" s="10" t="s">
        <v>172</v>
      </c>
      <c r="D83" s="10" t="s">
        <v>289</v>
      </c>
      <c r="E83" s="58" t="s">
        <v>83</v>
      </c>
      <c r="F83" s="13"/>
      <c r="G83" s="10"/>
      <c r="H83" s="48"/>
      <c r="I83">
        <f t="shared" si="2"/>
        <v>1</v>
      </c>
      <c r="J83">
        <f t="shared" si="3"/>
        <v>0</v>
      </c>
    </row>
    <row r="84" spans="1:10" x14ac:dyDescent="0.35">
      <c r="A84" s="11" t="s">
        <v>290</v>
      </c>
      <c r="B84" s="11" t="s">
        <v>291</v>
      </c>
      <c r="C84" s="11" t="s">
        <v>165</v>
      </c>
      <c r="D84" s="11" t="s">
        <v>292</v>
      </c>
      <c r="E84" s="60" t="s">
        <v>83</v>
      </c>
      <c r="F84" s="12"/>
      <c r="G84" s="11"/>
      <c r="H84" s="51"/>
      <c r="I84">
        <f t="shared" si="2"/>
        <v>1</v>
      </c>
      <c r="J84">
        <f t="shared" si="3"/>
        <v>0</v>
      </c>
    </row>
    <row r="85" spans="1:10" x14ac:dyDescent="0.35">
      <c r="A85" s="11" t="s">
        <v>293</v>
      </c>
      <c r="B85" s="11" t="s">
        <v>294</v>
      </c>
      <c r="C85" s="11" t="s">
        <v>165</v>
      </c>
      <c r="D85" s="46" t="s">
        <v>295</v>
      </c>
      <c r="E85" s="60" t="s">
        <v>83</v>
      </c>
      <c r="F85" s="12"/>
      <c r="G85" s="11"/>
      <c r="H85" s="51"/>
      <c r="I85">
        <f t="shared" si="2"/>
        <v>1</v>
      </c>
      <c r="J85">
        <f t="shared" si="3"/>
        <v>0</v>
      </c>
    </row>
    <row r="86" spans="1:10" x14ac:dyDescent="0.35">
      <c r="A86" s="11" t="s">
        <v>296</v>
      </c>
      <c r="B86" s="11" t="s">
        <v>297</v>
      </c>
      <c r="C86" s="11" t="s">
        <v>165</v>
      </c>
      <c r="D86" s="11" t="s">
        <v>298</v>
      </c>
      <c r="E86" s="11" t="s">
        <v>83</v>
      </c>
      <c r="F86" s="12"/>
      <c r="G86" s="11"/>
      <c r="H86" s="51"/>
      <c r="I86">
        <f t="shared" si="2"/>
        <v>1</v>
      </c>
      <c r="J86">
        <f t="shared" si="3"/>
        <v>0</v>
      </c>
    </row>
    <row r="87" spans="1:10" x14ac:dyDescent="0.35">
      <c r="A87" s="10" t="s">
        <v>299</v>
      </c>
      <c r="B87" s="10" t="s">
        <v>300</v>
      </c>
      <c r="C87" s="10" t="s">
        <v>172</v>
      </c>
      <c r="D87" s="56" t="s">
        <v>301</v>
      </c>
      <c r="E87" s="10" t="s">
        <v>85</v>
      </c>
      <c r="F87" s="8" t="s">
        <v>524</v>
      </c>
      <c r="G87" s="10" t="s">
        <v>479</v>
      </c>
      <c r="H87" s="48"/>
      <c r="I87">
        <f t="shared" si="2"/>
        <v>1</v>
      </c>
      <c r="J87">
        <f t="shared" si="3"/>
        <v>1</v>
      </c>
    </row>
    <row r="88" spans="1:10" x14ac:dyDescent="0.35">
      <c r="A88" s="10" t="s">
        <v>302</v>
      </c>
      <c r="B88" s="10" t="s">
        <v>303</v>
      </c>
      <c r="C88" s="10" t="s">
        <v>172</v>
      </c>
      <c r="D88" s="56" t="s">
        <v>40</v>
      </c>
      <c r="E88" s="10" t="s">
        <v>83</v>
      </c>
      <c r="F88" s="13"/>
      <c r="G88" s="10"/>
      <c r="H88" s="48"/>
      <c r="I88">
        <f t="shared" si="2"/>
        <v>1</v>
      </c>
      <c r="J88">
        <f t="shared" si="3"/>
        <v>0</v>
      </c>
    </row>
    <row r="89" spans="1:10" x14ac:dyDescent="0.35">
      <c r="A89" s="11" t="s">
        <v>304</v>
      </c>
      <c r="B89" s="11" t="s">
        <v>305</v>
      </c>
      <c r="C89" s="11" t="s">
        <v>165</v>
      </c>
      <c r="D89" s="11" t="s">
        <v>229</v>
      </c>
      <c r="E89" s="11" t="s">
        <v>83</v>
      </c>
      <c r="F89" s="12"/>
      <c r="G89" s="11"/>
      <c r="H89" s="51"/>
      <c r="I89">
        <f t="shared" si="2"/>
        <v>1</v>
      </c>
      <c r="J89">
        <f t="shared" si="3"/>
        <v>0</v>
      </c>
    </row>
    <row r="90" spans="1:10" x14ac:dyDescent="0.35">
      <c r="A90" s="14" t="s">
        <v>306</v>
      </c>
      <c r="B90" s="14" t="s">
        <v>307</v>
      </c>
      <c r="C90" s="14" t="s">
        <v>9</v>
      </c>
      <c r="D90" s="61" t="s">
        <v>308</v>
      </c>
      <c r="E90" s="14" t="s">
        <v>83</v>
      </c>
      <c r="F90" s="15"/>
      <c r="G90" s="14"/>
      <c r="H90" s="53"/>
      <c r="I90">
        <f t="shared" si="2"/>
        <v>1</v>
      </c>
      <c r="J90">
        <f t="shared" si="3"/>
        <v>0</v>
      </c>
    </row>
    <row r="91" spans="1:10" x14ac:dyDescent="0.35">
      <c r="A91" s="16" t="s">
        <v>309</v>
      </c>
      <c r="B91" s="16" t="s">
        <v>310</v>
      </c>
      <c r="C91" s="16" t="s">
        <v>64</v>
      </c>
      <c r="D91" s="16" t="s">
        <v>311</v>
      </c>
      <c r="E91" s="16" t="s">
        <v>83</v>
      </c>
      <c r="F91" s="17"/>
      <c r="G91" s="16"/>
      <c r="H91" s="49"/>
      <c r="I91">
        <f t="shared" si="2"/>
        <v>1</v>
      </c>
      <c r="J91">
        <f t="shared" si="3"/>
        <v>0</v>
      </c>
    </row>
    <row r="92" spans="1:10" x14ac:dyDescent="0.35">
      <c r="A92" s="11" t="s">
        <v>312</v>
      </c>
      <c r="B92" s="11" t="s">
        <v>313</v>
      </c>
      <c r="C92" s="11" t="s">
        <v>165</v>
      </c>
      <c r="D92" s="11" t="s">
        <v>314</v>
      </c>
      <c r="E92" s="11" t="s">
        <v>83</v>
      </c>
      <c r="F92" s="12"/>
      <c r="G92" s="11"/>
      <c r="H92" s="51"/>
      <c r="I92">
        <f t="shared" si="2"/>
        <v>1</v>
      </c>
      <c r="J92">
        <f t="shared" si="3"/>
        <v>0</v>
      </c>
    </row>
    <row r="93" spans="1:10" x14ac:dyDescent="0.35">
      <c r="A93" s="14" t="s">
        <v>315</v>
      </c>
      <c r="B93" s="14" t="s">
        <v>316</v>
      </c>
      <c r="C93" s="14" t="s">
        <v>9</v>
      </c>
      <c r="D93" s="14" t="s">
        <v>317</v>
      </c>
      <c r="E93" s="14" t="s">
        <v>83</v>
      </c>
      <c r="F93" s="8" t="s">
        <v>546</v>
      </c>
      <c r="G93" s="14" t="s">
        <v>480</v>
      </c>
      <c r="H93" s="53"/>
      <c r="I93">
        <f t="shared" si="2"/>
        <v>1</v>
      </c>
      <c r="J93">
        <f t="shared" si="3"/>
        <v>1</v>
      </c>
    </row>
    <row r="94" spans="1:10" x14ac:dyDescent="0.35">
      <c r="A94" s="11" t="s">
        <v>318</v>
      </c>
      <c r="B94" s="11" t="s">
        <v>319</v>
      </c>
      <c r="C94" s="11" t="s">
        <v>165</v>
      </c>
      <c r="D94" s="11" t="s">
        <v>320</v>
      </c>
      <c r="E94" s="11" t="s">
        <v>85</v>
      </c>
      <c r="F94" s="8" t="s">
        <v>545</v>
      </c>
      <c r="G94" s="11" t="s">
        <v>522</v>
      </c>
      <c r="H94" s="66" t="s">
        <v>521</v>
      </c>
      <c r="I94">
        <f t="shared" si="2"/>
        <v>1</v>
      </c>
      <c r="J94">
        <f t="shared" si="3"/>
        <v>1</v>
      </c>
    </row>
    <row r="95" spans="1:10" x14ac:dyDescent="0.35">
      <c r="A95" s="10" t="s">
        <v>321</v>
      </c>
      <c r="B95" s="10" t="s">
        <v>322</v>
      </c>
      <c r="C95" s="10" t="s">
        <v>172</v>
      </c>
      <c r="D95" s="56" t="s">
        <v>323</v>
      </c>
      <c r="E95" s="10" t="s">
        <v>83</v>
      </c>
      <c r="F95" s="13"/>
      <c r="G95" s="10"/>
      <c r="H95" s="48"/>
      <c r="I95">
        <f t="shared" si="2"/>
        <v>1</v>
      </c>
      <c r="J95">
        <f t="shared" si="3"/>
        <v>0</v>
      </c>
    </row>
    <row r="96" spans="1:10" x14ac:dyDescent="0.35">
      <c r="A96" s="11" t="s">
        <v>324</v>
      </c>
      <c r="B96" s="11" t="s">
        <v>325</v>
      </c>
      <c r="C96" s="11" t="s">
        <v>165</v>
      </c>
      <c r="D96" s="11" t="s">
        <v>326</v>
      </c>
      <c r="E96" s="11" t="s">
        <v>85</v>
      </c>
      <c r="F96" s="8" t="s">
        <v>544</v>
      </c>
      <c r="G96" s="11" t="s">
        <v>481</v>
      </c>
      <c r="H96" s="51"/>
      <c r="I96">
        <f t="shared" si="2"/>
        <v>1</v>
      </c>
      <c r="J96">
        <f t="shared" si="3"/>
        <v>1</v>
      </c>
    </row>
    <row r="97" spans="1:10" x14ac:dyDescent="0.35">
      <c r="A97" s="11" t="s">
        <v>327</v>
      </c>
      <c r="B97" s="11" t="s">
        <v>328</v>
      </c>
      <c r="C97" s="11" t="s">
        <v>165</v>
      </c>
      <c r="D97" s="11" t="s">
        <v>242</v>
      </c>
      <c r="E97" s="11" t="s">
        <v>85</v>
      </c>
      <c r="F97" s="8" t="s">
        <v>543</v>
      </c>
      <c r="G97" s="11" t="s">
        <v>482</v>
      </c>
      <c r="H97" s="51"/>
      <c r="I97">
        <f t="shared" si="2"/>
        <v>1</v>
      </c>
      <c r="J97">
        <f t="shared" si="3"/>
        <v>1</v>
      </c>
    </row>
    <row r="98" spans="1:10" x14ac:dyDescent="0.35">
      <c r="A98" s="10" t="s">
        <v>329</v>
      </c>
      <c r="B98" s="10" t="s">
        <v>330</v>
      </c>
      <c r="C98" s="10" t="s">
        <v>172</v>
      </c>
      <c r="D98" s="10" t="s">
        <v>331</v>
      </c>
      <c r="E98" s="10" t="s">
        <v>85</v>
      </c>
      <c r="F98" s="8" t="s">
        <v>542</v>
      </c>
      <c r="G98" s="10" t="s">
        <v>472</v>
      </c>
      <c r="H98" s="48"/>
      <c r="I98">
        <f t="shared" si="2"/>
        <v>1</v>
      </c>
      <c r="J98">
        <f t="shared" si="3"/>
        <v>1</v>
      </c>
    </row>
    <row r="99" spans="1:10" x14ac:dyDescent="0.35">
      <c r="A99" s="11" t="s">
        <v>332</v>
      </c>
      <c r="B99" s="11" t="s">
        <v>333</v>
      </c>
      <c r="C99" s="11" t="s">
        <v>165</v>
      </c>
      <c r="D99" s="11" t="s">
        <v>334</v>
      </c>
      <c r="E99" s="11" t="s">
        <v>83</v>
      </c>
      <c r="F99" s="12"/>
      <c r="G99" s="11"/>
      <c r="H99" s="51"/>
      <c r="I99">
        <f t="shared" si="2"/>
        <v>1</v>
      </c>
      <c r="J99">
        <f t="shared" si="3"/>
        <v>0</v>
      </c>
    </row>
    <row r="100" spans="1:10" x14ac:dyDescent="0.35">
      <c r="A100" s="11" t="s">
        <v>335</v>
      </c>
      <c r="B100" s="11" t="s">
        <v>336</v>
      </c>
      <c r="C100" s="11" t="s">
        <v>165</v>
      </c>
      <c r="D100" s="11" t="s">
        <v>337</v>
      </c>
      <c r="E100" s="11" t="s">
        <v>85</v>
      </c>
      <c r="F100" s="8" t="s">
        <v>541</v>
      </c>
      <c r="G100" s="11" t="s">
        <v>483</v>
      </c>
      <c r="H100" s="51"/>
      <c r="I100">
        <f t="shared" si="2"/>
        <v>1</v>
      </c>
      <c r="J100">
        <f t="shared" si="3"/>
        <v>1</v>
      </c>
    </row>
    <row r="101" spans="1:10" x14ac:dyDescent="0.35">
      <c r="A101" s="10" t="s">
        <v>338</v>
      </c>
      <c r="B101" s="10" t="s">
        <v>339</v>
      </c>
      <c r="C101" s="10" t="s">
        <v>172</v>
      </c>
      <c r="D101" s="10" t="s">
        <v>340</v>
      </c>
      <c r="E101" s="10" t="s">
        <v>85</v>
      </c>
      <c r="F101" s="8" t="s">
        <v>540</v>
      </c>
      <c r="G101" s="10" t="s">
        <v>484</v>
      </c>
      <c r="H101" s="48"/>
      <c r="I101">
        <f t="shared" si="2"/>
        <v>1</v>
      </c>
      <c r="J101">
        <f t="shared" si="3"/>
        <v>1</v>
      </c>
    </row>
    <row r="102" spans="1:10" x14ac:dyDescent="0.35">
      <c r="A102" s="10" t="s">
        <v>341</v>
      </c>
      <c r="B102" s="10" t="s">
        <v>342</v>
      </c>
      <c r="C102" s="10" t="s">
        <v>172</v>
      </c>
      <c r="D102" s="56" t="s">
        <v>343</v>
      </c>
      <c r="E102" s="10" t="s">
        <v>83</v>
      </c>
      <c r="F102" s="13"/>
      <c r="G102" s="10"/>
      <c r="H102" s="48"/>
      <c r="I102">
        <f t="shared" si="2"/>
        <v>1</v>
      </c>
      <c r="J102">
        <f t="shared" si="3"/>
        <v>0</v>
      </c>
    </row>
    <row r="103" spans="1:10" x14ac:dyDescent="0.35">
      <c r="A103" s="11" t="s">
        <v>344</v>
      </c>
      <c r="B103" s="11" t="s">
        <v>345</v>
      </c>
      <c r="C103" s="11" t="s">
        <v>165</v>
      </c>
      <c r="D103" s="11" t="s">
        <v>346</v>
      </c>
      <c r="E103" s="11" t="s">
        <v>83</v>
      </c>
      <c r="F103" s="8" t="s">
        <v>539</v>
      </c>
      <c r="G103" s="11" t="s">
        <v>485</v>
      </c>
      <c r="H103" s="51"/>
      <c r="I103">
        <f t="shared" si="2"/>
        <v>1</v>
      </c>
      <c r="J103">
        <f t="shared" si="3"/>
        <v>1</v>
      </c>
    </row>
    <row r="104" spans="1:10" x14ac:dyDescent="0.35">
      <c r="A104" s="10" t="s">
        <v>347</v>
      </c>
      <c r="B104" s="10" t="s">
        <v>348</v>
      </c>
      <c r="C104" s="10" t="s">
        <v>172</v>
      </c>
      <c r="D104" s="10" t="s">
        <v>349</v>
      </c>
      <c r="E104" s="10" t="s">
        <v>83</v>
      </c>
      <c r="F104" s="13"/>
      <c r="G104" s="10"/>
      <c r="H104" s="48"/>
      <c r="I104">
        <f t="shared" si="2"/>
        <v>1</v>
      </c>
      <c r="J104">
        <f t="shared" si="3"/>
        <v>0</v>
      </c>
    </row>
    <row r="105" spans="1:10" x14ac:dyDescent="0.35">
      <c r="A105" s="16" t="s">
        <v>350</v>
      </c>
      <c r="B105" s="16" t="s">
        <v>351</v>
      </c>
      <c r="C105" s="16" t="s">
        <v>64</v>
      </c>
      <c r="D105" s="16" t="s">
        <v>352</v>
      </c>
      <c r="E105" s="16" t="s">
        <v>85</v>
      </c>
      <c r="F105" s="8" t="s">
        <v>538</v>
      </c>
      <c r="G105" s="16" t="s">
        <v>485</v>
      </c>
      <c r="H105" s="8" t="s">
        <v>487</v>
      </c>
      <c r="I105">
        <f t="shared" si="2"/>
        <v>1</v>
      </c>
      <c r="J105">
        <f t="shared" si="3"/>
        <v>1</v>
      </c>
    </row>
    <row r="106" spans="1:10" x14ac:dyDescent="0.35">
      <c r="A106" s="10" t="s">
        <v>353</v>
      </c>
      <c r="B106" s="10" t="s">
        <v>354</v>
      </c>
      <c r="C106" s="10" t="s">
        <v>172</v>
      </c>
      <c r="D106" s="10" t="s">
        <v>355</v>
      </c>
      <c r="E106" s="10" t="s">
        <v>85</v>
      </c>
      <c r="F106" s="8" t="s">
        <v>537</v>
      </c>
      <c r="G106" s="10" t="s">
        <v>485</v>
      </c>
      <c r="H106" s="8" t="s">
        <v>488</v>
      </c>
      <c r="I106">
        <f t="shared" si="2"/>
        <v>1</v>
      </c>
      <c r="J106">
        <f t="shared" si="3"/>
        <v>1</v>
      </c>
    </row>
    <row r="107" spans="1:10" x14ac:dyDescent="0.35">
      <c r="A107" s="10" t="s">
        <v>356</v>
      </c>
      <c r="B107" s="10" t="s">
        <v>357</v>
      </c>
      <c r="C107" s="10" t="s">
        <v>172</v>
      </c>
      <c r="D107" s="8" t="s">
        <v>489</v>
      </c>
      <c r="E107" s="10" t="s">
        <v>83</v>
      </c>
      <c r="F107" s="13"/>
      <c r="G107" s="10"/>
      <c r="H107" s="48"/>
      <c r="I107">
        <f t="shared" si="2"/>
        <v>1</v>
      </c>
      <c r="J107">
        <f t="shared" si="3"/>
        <v>0</v>
      </c>
    </row>
    <row r="108" spans="1:10" x14ac:dyDescent="0.35">
      <c r="A108" s="10" t="s">
        <v>358</v>
      </c>
      <c r="B108" s="10" t="s">
        <v>359</v>
      </c>
      <c r="C108" s="10" t="s">
        <v>172</v>
      </c>
      <c r="D108" s="10" t="s">
        <v>360</v>
      </c>
      <c r="E108" s="10" t="s">
        <v>83</v>
      </c>
      <c r="F108" s="13"/>
      <c r="G108" s="10"/>
      <c r="H108" s="48"/>
      <c r="I108">
        <f t="shared" si="2"/>
        <v>1</v>
      </c>
      <c r="J108">
        <f t="shared" si="3"/>
        <v>0</v>
      </c>
    </row>
    <row r="109" spans="1:10" x14ac:dyDescent="0.35">
      <c r="A109" s="16" t="s">
        <v>361</v>
      </c>
      <c r="B109" s="16" t="s">
        <v>362</v>
      </c>
      <c r="C109" s="16" t="s">
        <v>64</v>
      </c>
      <c r="D109" s="16" t="s">
        <v>363</v>
      </c>
      <c r="E109" s="16" t="s">
        <v>83</v>
      </c>
      <c r="F109" s="17"/>
      <c r="G109" s="16"/>
      <c r="H109" s="49"/>
      <c r="I109">
        <f t="shared" si="2"/>
        <v>1</v>
      </c>
      <c r="J109">
        <f t="shared" si="3"/>
        <v>0</v>
      </c>
    </row>
    <row r="110" spans="1:10" x14ac:dyDescent="0.35">
      <c r="A110" s="10" t="s">
        <v>364</v>
      </c>
      <c r="B110" s="10" t="s">
        <v>365</v>
      </c>
      <c r="C110" s="10" t="s">
        <v>172</v>
      </c>
      <c r="D110" s="56" t="s">
        <v>366</v>
      </c>
      <c r="E110" s="10" t="s">
        <v>85</v>
      </c>
      <c r="F110" s="8" t="s">
        <v>536</v>
      </c>
      <c r="G110" s="10" t="s">
        <v>485</v>
      </c>
      <c r="H110" s="8" t="s">
        <v>490</v>
      </c>
      <c r="I110">
        <f t="shared" si="2"/>
        <v>1</v>
      </c>
      <c r="J110">
        <f t="shared" si="3"/>
        <v>1</v>
      </c>
    </row>
    <row r="111" spans="1:10" x14ac:dyDescent="0.35">
      <c r="A111" s="14" t="s">
        <v>367</v>
      </c>
      <c r="B111" s="14" t="s">
        <v>368</v>
      </c>
      <c r="C111" s="14" t="s">
        <v>9</v>
      </c>
      <c r="D111" s="61" t="s">
        <v>369</v>
      </c>
      <c r="E111" s="14" t="s">
        <v>85</v>
      </c>
      <c r="F111" s="8" t="s">
        <v>535</v>
      </c>
      <c r="G111" s="14" t="s">
        <v>492</v>
      </c>
      <c r="H111" s="8" t="s">
        <v>491</v>
      </c>
      <c r="I111">
        <f t="shared" si="2"/>
        <v>1</v>
      </c>
      <c r="J111">
        <f t="shared" si="3"/>
        <v>1</v>
      </c>
    </row>
    <row r="112" spans="1:10" x14ac:dyDescent="0.35">
      <c r="A112" s="14" t="s">
        <v>370</v>
      </c>
      <c r="B112" s="14" t="s">
        <v>371</v>
      </c>
      <c r="C112" s="14" t="s">
        <v>9</v>
      </c>
      <c r="D112" s="61" t="s">
        <v>372</v>
      </c>
      <c r="E112" s="14" t="s">
        <v>156</v>
      </c>
      <c r="F112" s="15" t="s">
        <v>496</v>
      </c>
      <c r="G112" s="14"/>
      <c r="H112" s="8" t="s">
        <v>495</v>
      </c>
      <c r="I112">
        <f t="shared" si="2"/>
        <v>1</v>
      </c>
      <c r="J112">
        <f t="shared" si="3"/>
        <v>1</v>
      </c>
    </row>
    <row r="113" spans="1:10" x14ac:dyDescent="0.35">
      <c r="A113" s="10" t="s">
        <v>373</v>
      </c>
      <c r="B113" s="10" t="s">
        <v>374</v>
      </c>
      <c r="C113" s="10" t="s">
        <v>172</v>
      </c>
      <c r="D113" s="10" t="s">
        <v>375</v>
      </c>
      <c r="E113" s="10" t="s">
        <v>156</v>
      </c>
      <c r="F113" s="8" t="s">
        <v>534</v>
      </c>
      <c r="G113" s="10" t="s">
        <v>494</v>
      </c>
      <c r="H113" s="64" t="s">
        <v>493</v>
      </c>
      <c r="I113">
        <f t="shared" si="2"/>
        <v>1</v>
      </c>
      <c r="J113">
        <f t="shared" si="3"/>
        <v>1</v>
      </c>
    </row>
    <row r="114" spans="1:10" x14ac:dyDescent="0.35">
      <c r="A114" s="11" t="s">
        <v>376</v>
      </c>
      <c r="B114" s="11" t="s">
        <v>377</v>
      </c>
      <c r="C114" s="11" t="s">
        <v>165</v>
      </c>
      <c r="D114" s="46" t="s">
        <v>378</v>
      </c>
      <c r="E114" s="11" t="s">
        <v>156</v>
      </c>
      <c r="F114" s="8" t="s">
        <v>533</v>
      </c>
      <c r="G114" s="11" t="s">
        <v>494</v>
      </c>
      <c r="H114" s="8" t="s">
        <v>497</v>
      </c>
      <c r="I114">
        <f t="shared" si="2"/>
        <v>1</v>
      </c>
      <c r="J114">
        <f t="shared" si="3"/>
        <v>1</v>
      </c>
    </row>
    <row r="115" spans="1:10" x14ac:dyDescent="0.35">
      <c r="A115" s="14" t="s">
        <v>379</v>
      </c>
      <c r="B115" s="14" t="s">
        <v>380</v>
      </c>
      <c r="C115" s="14" t="s">
        <v>9</v>
      </c>
      <c r="D115" s="61" t="s">
        <v>381</v>
      </c>
      <c r="E115" s="14" t="s">
        <v>451</v>
      </c>
      <c r="F115" s="15"/>
      <c r="G115" s="14"/>
      <c r="H115" s="53"/>
      <c r="I115">
        <f t="shared" si="2"/>
        <v>1</v>
      </c>
      <c r="J115">
        <f t="shared" si="3"/>
        <v>0</v>
      </c>
    </row>
    <row r="116" spans="1:10" x14ac:dyDescent="0.35">
      <c r="A116" s="10" t="s">
        <v>382</v>
      </c>
      <c r="B116" s="10" t="s">
        <v>383</v>
      </c>
      <c r="C116" s="10" t="s">
        <v>172</v>
      </c>
      <c r="D116" s="10" t="s">
        <v>384</v>
      </c>
      <c r="E116" s="10" t="s">
        <v>451</v>
      </c>
      <c r="F116" s="13"/>
      <c r="G116" s="10"/>
      <c r="H116" s="48"/>
      <c r="I116">
        <f t="shared" si="2"/>
        <v>1</v>
      </c>
      <c r="J116">
        <f t="shared" si="3"/>
        <v>0</v>
      </c>
    </row>
    <row r="117" spans="1:10" x14ac:dyDescent="0.35">
      <c r="A117" s="10" t="s">
        <v>385</v>
      </c>
      <c r="B117" s="10" t="s">
        <v>386</v>
      </c>
      <c r="C117" s="10" t="s">
        <v>172</v>
      </c>
      <c r="D117" s="10" t="s">
        <v>387</v>
      </c>
      <c r="E117" s="10" t="s">
        <v>85</v>
      </c>
      <c r="F117" s="8" t="s">
        <v>532</v>
      </c>
      <c r="G117" s="10" t="s">
        <v>499</v>
      </c>
      <c r="H117" s="8" t="s">
        <v>498</v>
      </c>
      <c r="I117">
        <f t="shared" si="2"/>
        <v>1</v>
      </c>
      <c r="J117">
        <f t="shared" si="3"/>
        <v>1</v>
      </c>
    </row>
    <row r="118" spans="1:10" x14ac:dyDescent="0.35">
      <c r="A118" s="10" t="s">
        <v>388</v>
      </c>
      <c r="B118" s="10" t="s">
        <v>389</v>
      </c>
      <c r="C118" s="10" t="s">
        <v>172</v>
      </c>
      <c r="D118" s="10" t="s">
        <v>390</v>
      </c>
      <c r="E118" s="10" t="s">
        <v>83</v>
      </c>
      <c r="F118" s="13"/>
      <c r="G118" s="10"/>
      <c r="I118">
        <f t="shared" si="2"/>
        <v>1</v>
      </c>
      <c r="J118">
        <f t="shared" si="3"/>
        <v>0</v>
      </c>
    </row>
    <row r="119" spans="1:10" x14ac:dyDescent="0.35">
      <c r="A119" s="10" t="s">
        <v>391</v>
      </c>
      <c r="B119" s="10" t="s">
        <v>392</v>
      </c>
      <c r="C119" s="10" t="s">
        <v>172</v>
      </c>
      <c r="D119" s="10" t="s">
        <v>393</v>
      </c>
      <c r="E119" s="10" t="s">
        <v>85</v>
      </c>
      <c r="F119" s="8" t="s">
        <v>501</v>
      </c>
      <c r="G119" s="10" t="s">
        <v>485</v>
      </c>
      <c r="H119" s="8" t="s">
        <v>500</v>
      </c>
      <c r="I119">
        <f t="shared" si="2"/>
        <v>1</v>
      </c>
      <c r="J119">
        <f t="shared" si="3"/>
        <v>1</v>
      </c>
    </row>
    <row r="120" spans="1:10" x14ac:dyDescent="0.35">
      <c r="A120" s="14" t="s">
        <v>394</v>
      </c>
      <c r="B120" s="14" t="s">
        <v>395</v>
      </c>
      <c r="C120" s="14" t="s">
        <v>9</v>
      </c>
      <c r="D120" s="61" t="s">
        <v>396</v>
      </c>
      <c r="E120" s="14" t="s">
        <v>85</v>
      </c>
      <c r="F120" s="8" t="s">
        <v>502</v>
      </c>
      <c r="G120" s="14" t="s">
        <v>504</v>
      </c>
      <c r="H120" s="8" t="s">
        <v>503</v>
      </c>
      <c r="I120">
        <f t="shared" si="2"/>
        <v>1</v>
      </c>
      <c r="J120">
        <f t="shared" si="3"/>
        <v>1</v>
      </c>
    </row>
    <row r="121" spans="1:10" x14ac:dyDescent="0.35">
      <c r="A121" s="14" t="s">
        <v>397</v>
      </c>
      <c r="B121" s="14" t="s">
        <v>398</v>
      </c>
      <c r="C121" s="14" t="s">
        <v>9</v>
      </c>
      <c r="D121" s="61" t="s">
        <v>399</v>
      </c>
      <c r="E121" s="14" t="s">
        <v>83</v>
      </c>
      <c r="F121" s="15"/>
      <c r="G121" s="14"/>
      <c r="H121" s="53"/>
      <c r="I121">
        <f t="shared" si="2"/>
        <v>1</v>
      </c>
      <c r="J121">
        <f t="shared" si="3"/>
        <v>0</v>
      </c>
    </row>
    <row r="122" spans="1:10" x14ac:dyDescent="0.35">
      <c r="A122" s="10" t="s">
        <v>400</v>
      </c>
      <c r="B122" s="10" t="s">
        <v>401</v>
      </c>
      <c r="C122" s="10" t="s">
        <v>172</v>
      </c>
      <c r="D122" s="10" t="s">
        <v>402</v>
      </c>
      <c r="E122" s="10" t="s">
        <v>85</v>
      </c>
      <c r="F122" s="8" t="s">
        <v>531</v>
      </c>
      <c r="G122" s="10" t="s">
        <v>505</v>
      </c>
      <c r="H122" s="8" t="s">
        <v>506</v>
      </c>
      <c r="I122">
        <f t="shared" si="2"/>
        <v>1</v>
      </c>
      <c r="J122">
        <f t="shared" si="3"/>
        <v>1</v>
      </c>
    </row>
    <row r="123" spans="1:10" x14ac:dyDescent="0.35">
      <c r="A123" s="11" t="s">
        <v>403</v>
      </c>
      <c r="B123" s="11" t="s">
        <v>404</v>
      </c>
      <c r="C123" s="11" t="s">
        <v>165</v>
      </c>
      <c r="D123" s="11" t="s">
        <v>209</v>
      </c>
      <c r="E123" s="11" t="s">
        <v>83</v>
      </c>
      <c r="F123" s="12"/>
      <c r="G123" s="11"/>
      <c r="H123" s="51"/>
      <c r="I123">
        <f t="shared" si="2"/>
        <v>1</v>
      </c>
      <c r="J123">
        <f t="shared" si="3"/>
        <v>0</v>
      </c>
    </row>
    <row r="124" spans="1:10" x14ac:dyDescent="0.35">
      <c r="A124" s="11" t="s">
        <v>405</v>
      </c>
      <c r="B124" s="11" t="s">
        <v>406</v>
      </c>
      <c r="C124" s="11" t="s">
        <v>165</v>
      </c>
      <c r="D124" s="11" t="s">
        <v>407</v>
      </c>
      <c r="E124" s="11" t="s">
        <v>85</v>
      </c>
      <c r="F124" s="8" t="s">
        <v>530</v>
      </c>
      <c r="G124" s="11" t="s">
        <v>508</v>
      </c>
      <c r="H124" s="8" t="s">
        <v>507</v>
      </c>
      <c r="I124">
        <f t="shared" si="2"/>
        <v>1</v>
      </c>
      <c r="J124">
        <f t="shared" si="3"/>
        <v>1</v>
      </c>
    </row>
    <row r="125" spans="1:10" x14ac:dyDescent="0.35">
      <c r="A125" s="10" t="s">
        <v>408</v>
      </c>
      <c r="B125" s="10" t="s">
        <v>409</v>
      </c>
      <c r="C125" s="10" t="s">
        <v>172</v>
      </c>
      <c r="D125" s="10" t="s">
        <v>410</v>
      </c>
      <c r="E125" s="10" t="s">
        <v>83</v>
      </c>
      <c r="F125" s="13"/>
      <c r="G125" s="10"/>
      <c r="H125" s="48"/>
      <c r="I125">
        <f t="shared" si="2"/>
        <v>1</v>
      </c>
      <c r="J125">
        <f t="shared" si="3"/>
        <v>0</v>
      </c>
    </row>
    <row r="126" spans="1:10" x14ac:dyDescent="0.35">
      <c r="A126" s="10" t="s">
        <v>411</v>
      </c>
      <c r="B126" s="10" t="s">
        <v>412</v>
      </c>
      <c r="C126" s="10" t="s">
        <v>172</v>
      </c>
      <c r="D126" s="56" t="s">
        <v>413</v>
      </c>
      <c r="E126" s="10" t="s">
        <v>85</v>
      </c>
      <c r="F126" s="8" t="s">
        <v>529</v>
      </c>
      <c r="G126" s="10" t="s">
        <v>469</v>
      </c>
      <c r="H126" s="8" t="s">
        <v>509</v>
      </c>
      <c r="I126">
        <f t="shared" si="2"/>
        <v>1</v>
      </c>
      <c r="J126">
        <f t="shared" si="3"/>
        <v>1</v>
      </c>
    </row>
    <row r="127" spans="1:10" x14ac:dyDescent="0.35">
      <c r="A127" s="10" t="s">
        <v>414</v>
      </c>
      <c r="B127" s="10" t="s">
        <v>415</v>
      </c>
      <c r="C127" s="10" t="s">
        <v>172</v>
      </c>
      <c r="D127" s="10" t="s">
        <v>194</v>
      </c>
      <c r="E127" s="10" t="s">
        <v>85</v>
      </c>
      <c r="F127" s="8" t="s">
        <v>528</v>
      </c>
      <c r="G127" s="10" t="s">
        <v>511</v>
      </c>
      <c r="H127" s="8" t="s">
        <v>510</v>
      </c>
      <c r="I127">
        <f t="shared" si="2"/>
        <v>1</v>
      </c>
      <c r="J127">
        <f t="shared" si="3"/>
        <v>1</v>
      </c>
    </row>
    <row r="128" spans="1:10" x14ac:dyDescent="0.35">
      <c r="A128" s="10" t="s">
        <v>416</v>
      </c>
      <c r="B128" s="10" t="s">
        <v>417</v>
      </c>
      <c r="C128" s="10" t="s">
        <v>172</v>
      </c>
      <c r="D128" s="10" t="s">
        <v>418</v>
      </c>
      <c r="E128" s="10" t="s">
        <v>85</v>
      </c>
      <c r="F128" s="8" t="s">
        <v>577</v>
      </c>
      <c r="G128" s="10" t="s">
        <v>515</v>
      </c>
      <c r="H128" s="8" t="s">
        <v>512</v>
      </c>
      <c r="I128">
        <f t="shared" si="2"/>
        <v>1</v>
      </c>
      <c r="J128">
        <f t="shared" si="3"/>
        <v>1</v>
      </c>
    </row>
    <row r="129" spans="1:10" x14ac:dyDescent="0.35">
      <c r="A129" s="16" t="s">
        <v>419</v>
      </c>
      <c r="B129" s="16" t="s">
        <v>420</v>
      </c>
      <c r="C129" s="16" t="s">
        <v>64</v>
      </c>
      <c r="D129" s="16" t="s">
        <v>421</v>
      </c>
      <c r="E129" s="16" t="s">
        <v>85</v>
      </c>
      <c r="F129" s="8" t="s">
        <v>527</v>
      </c>
      <c r="G129" s="16" t="s">
        <v>513</v>
      </c>
      <c r="H129" s="8" t="s">
        <v>514</v>
      </c>
      <c r="I129">
        <f t="shared" si="2"/>
        <v>1</v>
      </c>
      <c r="J129">
        <f t="shared" si="3"/>
        <v>1</v>
      </c>
    </row>
    <row r="130" spans="1:10" x14ac:dyDescent="0.35">
      <c r="A130" s="10" t="s">
        <v>422</v>
      </c>
      <c r="B130" s="10" t="s">
        <v>423</v>
      </c>
      <c r="C130" s="10" t="s">
        <v>172</v>
      </c>
      <c r="D130" s="10" t="s">
        <v>424</v>
      </c>
      <c r="E130" s="10" t="s">
        <v>83</v>
      </c>
      <c r="F130" s="13"/>
      <c r="G130" s="10"/>
      <c r="H130" s="48"/>
      <c r="I130">
        <f t="shared" si="2"/>
        <v>1</v>
      </c>
      <c r="J130">
        <f t="shared" si="3"/>
        <v>0</v>
      </c>
    </row>
    <row r="131" spans="1:10" x14ac:dyDescent="0.35">
      <c r="A131" s="11" t="s">
        <v>425</v>
      </c>
      <c r="B131" s="11" t="s">
        <v>426</v>
      </c>
      <c r="C131" s="11" t="s">
        <v>165</v>
      </c>
      <c r="D131" s="11" t="s">
        <v>427</v>
      </c>
      <c r="E131" s="11" t="s">
        <v>83</v>
      </c>
      <c r="F131" s="12"/>
      <c r="G131" s="11"/>
      <c r="H131" s="51"/>
      <c r="I131">
        <f t="shared" ref="I131:I139" si="4">IF(ISBLANK(E131),0,1)</f>
        <v>1</v>
      </c>
      <c r="J131">
        <f t="shared" ref="J131:J139" si="5">IF(ISBLANK(F131),0,1)</f>
        <v>0</v>
      </c>
    </row>
    <row r="132" spans="1:10" x14ac:dyDescent="0.35">
      <c r="A132" s="16" t="s">
        <v>428</v>
      </c>
      <c r="B132" s="16" t="s">
        <v>429</v>
      </c>
      <c r="C132" s="16" t="s">
        <v>64</v>
      </c>
      <c r="D132" s="16" t="s">
        <v>430</v>
      </c>
      <c r="E132" s="16" t="s">
        <v>83</v>
      </c>
      <c r="F132" s="17"/>
      <c r="G132" s="16"/>
      <c r="H132" s="49"/>
      <c r="I132">
        <f t="shared" si="4"/>
        <v>1</v>
      </c>
      <c r="J132">
        <f t="shared" si="5"/>
        <v>0</v>
      </c>
    </row>
    <row r="133" spans="1:10" x14ac:dyDescent="0.35">
      <c r="A133" s="11" t="s">
        <v>431</v>
      </c>
      <c r="B133" s="11" t="s">
        <v>432</v>
      </c>
      <c r="C133" s="11" t="s">
        <v>165</v>
      </c>
      <c r="D133" s="46" t="s">
        <v>433</v>
      </c>
      <c r="E133" s="11" t="s">
        <v>83</v>
      </c>
      <c r="F133" s="12"/>
      <c r="G133" s="11"/>
      <c r="H133" s="51"/>
      <c r="I133">
        <f t="shared" si="4"/>
        <v>1</v>
      </c>
      <c r="J133">
        <f t="shared" si="5"/>
        <v>0</v>
      </c>
    </row>
    <row r="134" spans="1:10" x14ac:dyDescent="0.35">
      <c r="A134" s="14" t="s">
        <v>434</v>
      </c>
      <c r="B134" s="14" t="s">
        <v>435</v>
      </c>
      <c r="C134" s="14" t="s">
        <v>9</v>
      </c>
      <c r="D134" s="14" t="s">
        <v>436</v>
      </c>
      <c r="E134" s="14" t="s">
        <v>85</v>
      </c>
      <c r="F134" s="8" t="s">
        <v>526</v>
      </c>
      <c r="G134" s="14" t="s">
        <v>516</v>
      </c>
      <c r="H134" s="8" t="s">
        <v>517</v>
      </c>
      <c r="I134">
        <f t="shared" si="4"/>
        <v>1</v>
      </c>
      <c r="J134">
        <f t="shared" si="5"/>
        <v>1</v>
      </c>
    </row>
    <row r="135" spans="1:10" x14ac:dyDescent="0.35">
      <c r="A135" s="10" t="s">
        <v>437</v>
      </c>
      <c r="B135" s="10" t="s">
        <v>438</v>
      </c>
      <c r="C135" s="10" t="s">
        <v>172</v>
      </c>
      <c r="D135" s="10" t="s">
        <v>439</v>
      </c>
      <c r="E135" s="65" t="s">
        <v>85</v>
      </c>
      <c r="F135" s="8" t="s">
        <v>525</v>
      </c>
      <c r="G135" s="10" t="s">
        <v>519</v>
      </c>
      <c r="H135" s="8" t="s">
        <v>518</v>
      </c>
      <c r="I135">
        <f>IF(ISBLANK(E136),0,1)</f>
        <v>1</v>
      </c>
      <c r="J135">
        <f t="shared" si="5"/>
        <v>1</v>
      </c>
    </row>
    <row r="136" spans="1:10" x14ac:dyDescent="0.35">
      <c r="A136" s="14" t="s">
        <v>440</v>
      </c>
      <c r="B136" s="14" t="s">
        <v>441</v>
      </c>
      <c r="C136" s="14" t="s">
        <v>9</v>
      </c>
      <c r="D136" s="14" t="s">
        <v>442</v>
      </c>
      <c r="E136" s="10" t="s">
        <v>83</v>
      </c>
      <c r="F136" s="15"/>
      <c r="G136" s="14"/>
      <c r="H136" s="53"/>
      <c r="I136">
        <f>IF(ISBLANK(#REF!),0,1)</f>
        <v>1</v>
      </c>
      <c r="J136">
        <f t="shared" si="5"/>
        <v>0</v>
      </c>
    </row>
    <row r="137" spans="1:10" x14ac:dyDescent="0.35">
      <c r="A137" s="10" t="s">
        <v>443</v>
      </c>
      <c r="B137" s="10" t="s">
        <v>444</v>
      </c>
      <c r="C137" s="10" t="s">
        <v>172</v>
      </c>
      <c r="D137" s="10" t="s">
        <v>445</v>
      </c>
      <c r="E137" s="10" t="s">
        <v>83</v>
      </c>
      <c r="F137" s="13"/>
      <c r="G137" s="10"/>
      <c r="H137" s="48"/>
      <c r="I137">
        <f>IF(ISBLANK(E137),0,1)</f>
        <v>1</v>
      </c>
      <c r="J137">
        <f t="shared" si="5"/>
        <v>0</v>
      </c>
    </row>
    <row r="138" spans="1:10" x14ac:dyDescent="0.35">
      <c r="A138" s="10" t="s">
        <v>446</v>
      </c>
      <c r="B138" s="10" t="s">
        <v>447</v>
      </c>
      <c r="C138" s="10" t="s">
        <v>172</v>
      </c>
      <c r="D138" s="10" t="s">
        <v>200</v>
      </c>
      <c r="E138" s="10" t="s">
        <v>83</v>
      </c>
      <c r="F138" s="13"/>
      <c r="G138" s="10"/>
      <c r="H138" s="48"/>
      <c r="I138">
        <f>IF(ISBLANK(E138),0,1)</f>
        <v>1</v>
      </c>
      <c r="J138">
        <f t="shared" si="5"/>
        <v>0</v>
      </c>
    </row>
    <row r="139" spans="1:10" x14ac:dyDescent="0.35">
      <c r="A139" s="10" t="s">
        <v>448</v>
      </c>
      <c r="B139" s="10" t="s">
        <v>449</v>
      </c>
      <c r="C139" s="10" t="s">
        <v>172</v>
      </c>
      <c r="D139" s="10" t="s">
        <v>301</v>
      </c>
      <c r="E139" s="10" t="s">
        <v>85</v>
      </c>
      <c r="F139" s="8" t="s">
        <v>524</v>
      </c>
      <c r="G139" s="10" t="s">
        <v>469</v>
      </c>
      <c r="H139" s="8" t="s">
        <v>520</v>
      </c>
      <c r="I139">
        <f t="shared" si="4"/>
        <v>1</v>
      </c>
      <c r="J139">
        <f t="shared" si="5"/>
        <v>1</v>
      </c>
    </row>
    <row r="140" spans="1:10" x14ac:dyDescent="0.35">
      <c r="I140">
        <f>SUM(I2:I139)</f>
        <v>138</v>
      </c>
      <c r="J140">
        <f>SUM(J2:J139)</f>
        <v>66</v>
      </c>
    </row>
    <row r="142" spans="1:10" x14ac:dyDescent="0.35">
      <c r="D142" t="s">
        <v>459</v>
      </c>
      <c r="E142" s="41">
        <f>J140/I140</f>
        <v>0.47826086956521741</v>
      </c>
    </row>
    <row r="143" spans="1:10" x14ac:dyDescent="0.35">
      <c r="D143" t="s">
        <v>460</v>
      </c>
      <c r="E143" s="41">
        <f>I140/138</f>
        <v>1</v>
      </c>
    </row>
  </sheetData>
  <sortState xmlns:xlrd2="http://schemas.microsoft.com/office/spreadsheetml/2017/richdata2" ref="A2:G139">
    <sortCondition ref="E2:E139"/>
  </sortState>
  <hyperlinks>
    <hyperlink ref="D19" r:id="rId1" xr:uid="{DB5F5A98-352A-4324-B295-64116A472AAA}"/>
    <hyperlink ref="D27" r:id="rId2" xr:uid="{965B9688-781B-40F8-A0B8-4C8AE629D343}"/>
    <hyperlink ref="F42" r:id="rId3" xr:uid="{C522ED8C-13FD-42E3-A6AF-2974F6B32371}"/>
    <hyperlink ref="F50" r:id="rId4" xr:uid="{F6F9BBBE-4A4D-49F5-9EFA-B8437124B852}"/>
    <hyperlink ref="F31" r:id="rId5" xr:uid="{B032DC36-61DF-4F80-98E8-0B0BF59ABEB1}"/>
    <hyperlink ref="D20" r:id="rId6" xr:uid="{16B65DAE-5A2A-484A-9C04-ECD3B6E14B33}"/>
    <hyperlink ref="F47" r:id="rId7" xr:uid="{B0FD78B5-3172-4423-85D1-1944BC319D6D}"/>
    <hyperlink ref="F49" r:id="rId8" xr:uid="{38AF2716-5776-48E5-AF6D-A5C80F809D72}"/>
    <hyperlink ref="F51" r:id="rId9" xr:uid="{490A6C9B-F7CC-4868-B3B8-314C8B9F3FD1}"/>
    <hyperlink ref="F54" r:id="rId10" xr:uid="{8CAB9F91-D087-4E59-8F3A-AE5E179A4201}"/>
    <hyperlink ref="F40" r:id="rId11" location="board" xr:uid="{3D89E993-9DA5-4A18-B7F7-D243E58D70AF}"/>
    <hyperlink ref="F41" r:id="rId12" xr:uid="{8A7303CF-8079-483B-9312-7CC5FBFA076B}"/>
    <hyperlink ref="F43" r:id="rId13" xr:uid="{3F559073-DDC7-4EE1-BFC7-DC99ACBABB02}"/>
    <hyperlink ref="F45" r:id="rId14" xr:uid="{9614E52F-E185-491F-A5DA-0F7567802F56}"/>
    <hyperlink ref="F48" r:id="rId15" xr:uid="{D47D0158-0059-42E1-8611-781A4E3233BD}"/>
    <hyperlink ref="F52" r:id="rId16" xr:uid="{5BF486AC-08F2-46DF-B32C-E45F96EF1049}"/>
    <hyperlink ref="F32" r:id="rId17" location="accordion-38-1" xr:uid="{FAA621FF-4CF9-4364-841A-D17F6857F200}"/>
    <hyperlink ref="F38" r:id="rId18" xr:uid="{EBB9DC11-4A9D-4FAF-99A3-2B3C1E021127}"/>
    <hyperlink ref="F44" r:id="rId19" xr:uid="{C73361EA-C982-42CD-A7E6-7FCB44C7E84B}"/>
    <hyperlink ref="F46" r:id="rId20" xr:uid="{01CD897B-F6CB-4896-9928-72A05B3BB8ED}"/>
    <hyperlink ref="F33" r:id="rId21" xr:uid="{E519DCF7-48DD-4DEA-9D70-528671846C64}"/>
    <hyperlink ref="D5" r:id="rId22" xr:uid="{E56426BF-EBAC-443B-892D-3CA4C835808D}"/>
    <hyperlink ref="F34" r:id="rId23" xr:uid="{165E9750-FA51-43A3-9E88-8ACDDBEC7A32}"/>
    <hyperlink ref="F35" r:id="rId24" location="accordion-38-1" xr:uid="{B5BD2DB8-1B3F-4685-A956-C4F5DDF5E6F5}"/>
    <hyperlink ref="D36" r:id="rId25" xr:uid="{6CBC26CA-9BFF-4ECC-A8B5-B58BA578E2EE}"/>
    <hyperlink ref="F36" r:id="rId26" xr:uid="{A0B9B0AF-238A-4D3F-A4E3-3FBDD49AC964}"/>
    <hyperlink ref="F39" r:id="rId27" xr:uid="{56D8972A-DC0D-43C0-861C-1867F7E5987D}"/>
    <hyperlink ref="F55" r:id="rId28" location="board-meetings" xr:uid="{CE6F6234-AF0A-413E-8420-D4C2327128E8}"/>
    <hyperlink ref="F56" r:id="rId29" xr:uid="{64E517A2-46F8-4A68-A282-B387B891B900}"/>
    <hyperlink ref="D57" r:id="rId30" xr:uid="{CCF49B80-D0DF-476A-912C-64C1AF88960F}"/>
    <hyperlink ref="F58" r:id="rId31" xr:uid="{8B325FE0-50FD-437A-BBDA-8DE0CF795B8D}"/>
    <hyperlink ref="D59" r:id="rId32" xr:uid="{AC5D41A7-8D01-4D43-B7D8-7EFE3A38EB0D}"/>
    <hyperlink ref="F62" r:id="rId33" xr:uid="{8ABB1058-3255-4277-950F-297A30D808A3}"/>
    <hyperlink ref="D63" r:id="rId34" xr:uid="{A1370F12-B0F8-4606-A770-377B94AF9825}"/>
    <hyperlink ref="F63" r:id="rId35" xr:uid="{9791A875-B4C0-44BA-A4E0-F603B77F0F7C}"/>
    <hyperlink ref="F67" r:id="rId36" xr:uid="{C1B89BD4-076B-4FE2-8BDC-9296D955F921}"/>
    <hyperlink ref="F68" r:id="rId37" xr:uid="{146A124A-E610-4C69-967B-00882685FE3B}"/>
    <hyperlink ref="D69" r:id="rId38" xr:uid="{B89DB480-A99E-422C-ACF5-6D7002B15749}"/>
    <hyperlink ref="F69" r:id="rId39" xr:uid="{06C13BEB-F677-44D9-B9A0-4DF810B96A3A}"/>
    <hyperlink ref="F71" r:id="rId40" xr:uid="{8AF0BDE3-75A9-4F80-8848-B7B667C188FE}"/>
    <hyperlink ref="D73" r:id="rId41" xr:uid="{8650C5CE-9C92-4777-A3BB-55609921D274}"/>
    <hyperlink ref="D74" r:id="rId42" xr:uid="{3378BAA6-729F-4F21-88C8-3BA819D30916}"/>
    <hyperlink ref="F74" r:id="rId43" xr:uid="{6F9E7E78-7362-49D4-BBDA-EB8C4F143765}"/>
    <hyperlink ref="G78" r:id="rId44" display="mailto:swatson@cheo.on.ca" xr:uid="{B2E20705-9D66-4C87-83EC-CCC0FF1B43E8}"/>
    <hyperlink ref="D79" r:id="rId45" xr:uid="{5A1EAC24-2105-4E6C-A9DB-CD920A215C83}"/>
    <hyperlink ref="F82" r:id="rId46" xr:uid="{871BAFC9-CD90-4A5D-A50C-85B43E148DA9}"/>
    <hyperlink ref="D85" r:id="rId47" xr:uid="{1C2806E8-BEA9-4D5E-88DB-431DAD116786}"/>
    <hyperlink ref="D87" r:id="rId48" xr:uid="{E89AB548-E7D6-4474-A33C-CDE11065F0D0}"/>
    <hyperlink ref="F87" r:id="rId49" location="accordion-25-1" xr:uid="{49E72F3A-CBB6-469F-BCB3-E75C804A516A}"/>
    <hyperlink ref="D88" r:id="rId50" xr:uid="{C4D2723E-DD41-4475-B201-4888758A18F0}"/>
    <hyperlink ref="D90" r:id="rId51" xr:uid="{C6CF01A1-A9C4-4FE5-825B-29ECFCB69DFA}"/>
    <hyperlink ref="F93" r:id="rId52" xr:uid="{3E6A2D0B-ED4B-4818-BA9B-8B6C53E6BC77}"/>
    <hyperlink ref="F94" r:id="rId53" location="gsc.tab=0" xr:uid="{F13DC31A-8D1B-43EC-A9ED-57F7A6C1CAF4}"/>
    <hyperlink ref="D95" r:id="rId54" xr:uid="{0B407D66-B473-4540-B737-7238F0979FA0}"/>
    <hyperlink ref="F96" r:id="rId55" xr:uid="{B87EF433-7ECB-49E0-BD5E-FCEC082771A5}"/>
    <hyperlink ref="F97" r:id="rId56" xr:uid="{41EFF149-6320-4D27-BAD9-BCB376EB3564}"/>
    <hyperlink ref="F98" r:id="rId57" xr:uid="{49333630-E304-4951-A486-E8069122813E}"/>
    <hyperlink ref="F100" r:id="rId58" xr:uid="{7FDB860E-6133-44C3-9EA8-63C619A45933}"/>
    <hyperlink ref="F101" r:id="rId59" xr:uid="{BBB193E1-C390-4190-A2CF-9DC481553C4C}"/>
    <hyperlink ref="D102" r:id="rId60" xr:uid="{329EB8C9-44BE-47EF-9CCF-6A856910450E}"/>
    <hyperlink ref="F103" r:id="rId61" location="1623785791880-9624b729-6d4d21bc-9620" xr:uid="{BDC25340-55CA-4D0C-A8F9-A12EA46D4A7F}"/>
    <hyperlink ref="F105" r:id="rId62" xr:uid="{8D1829CE-6F3A-45FC-B6C5-CB3EA7656015}"/>
    <hyperlink ref="F106" r:id="rId63" xr:uid="{9A48616A-9630-47E2-AB9E-2200E9D663F6}"/>
    <hyperlink ref="H106" r:id="rId64" display="https://psfdh.on.ca/uploads/9.1_i_MINUTES_Apr_28_2026____.pdf" xr:uid="{638787EA-A692-441B-A903-2C8355E88EF6}"/>
    <hyperlink ref="D110" r:id="rId65" xr:uid="{62741CA3-5B68-4FBC-A838-5E3A91C4DAB1}"/>
    <hyperlink ref="F110" r:id="rId66" xr:uid="{3217F608-D2C2-4CEE-96EB-6A678C628B66}"/>
    <hyperlink ref="H110" r:id="rId67" display="https://www.wrh.on.ca/uploads/BoardMeetings/Meeting_Minutes_May_2026.pdf" xr:uid="{9E0F5FBA-7CB4-45C4-BAF0-479FC0F3FBBA}"/>
    <hyperlink ref="D111" r:id="rId68" xr:uid="{30C26F99-B10E-4873-BE8D-B30D8F17189F}"/>
    <hyperlink ref="F111" r:id="rId69" xr:uid="{DCF5D49D-93D5-487B-B7CC-82E96ECD5DF0}"/>
    <hyperlink ref="H111" r:id="rId70" display="https://tbrhsc.net/wp-content/uploads/2026/04/0-Meeting-Package_OPEN_April-1-2026_bookmarked.pdf" xr:uid="{55B52BC9-F10A-427C-B5F3-D71B06FAB02D}"/>
    <hyperlink ref="F113" r:id="rId71" xr:uid="{95926A53-08AE-4C6F-AE87-D892D7AE2FC5}"/>
    <hyperlink ref="H113" r:id="rId72" xr:uid="{ED98A04D-CDB9-4A07-B448-AE0462D5BB44}"/>
    <hyperlink ref="D112" r:id="rId73" xr:uid="{822EEC14-37EF-4BAF-ABBD-A0FA648A1DFB}"/>
    <hyperlink ref="D114" r:id="rId74" xr:uid="{8D7EF103-8138-47D6-ABC6-E90CA96EF6A7}"/>
    <hyperlink ref="F114" r:id="rId75" xr:uid="{40890456-06F4-412D-8FB0-3B228162448B}"/>
    <hyperlink ref="H114" r:id="rId76" display="https://www.sbghc.on.ca/wp-content/uploads/2026/01/2025-10-01-Board-Minutes.pdf" xr:uid="{61DA75EA-28D8-48DA-B4BE-29A20F8198A6}"/>
    <hyperlink ref="D115" r:id="rId77" xr:uid="{2CC7143A-8428-446F-AB9C-66376C14ECFB}"/>
    <hyperlink ref="F117" r:id="rId78" xr:uid="{10630DB3-E427-4DA1-BC7D-017E756C3C5A}"/>
    <hyperlink ref="H117" r:id="rId79" display="https://www.williamoslerhs.ca/en/who-we-are/resources/May-29-2025_Remediated.pdf" xr:uid="{EB840F1F-3198-4D68-AC00-7B24507600F7}"/>
    <hyperlink ref="F119" r:id="rId80" xr:uid="{CD4521AC-DD9E-49AD-ACFD-10602B2D0CF0}"/>
    <hyperlink ref="H119" r:id="rId81" display="https://quintehealth.ca/wp-content/uploads/2026/04/BOD-March-2026-Website-Pkg.pdf" xr:uid="{C46570D1-9835-4F48-A919-D49A91D4767E}"/>
    <hyperlink ref="D120" r:id="rId82" xr:uid="{7DB6BA89-C337-4B87-A21F-C19172B58B48}"/>
    <hyperlink ref="H120" r:id="rId83" display="https://hsnsudbury.ca/Portals/1/7_1_Board_Minutes_2026_01_27_OpenSession_2026_03_31.pdf" xr:uid="{267577E1-7CF8-403E-92B6-AF58C7C9DA2E}"/>
    <hyperlink ref="D121" r:id="rId84" xr:uid="{3956813D-16AF-4E39-AD8C-EB49A81CE530}"/>
    <hyperlink ref="F122" r:id="rId85" xr:uid="{C3846B8A-292D-4431-A9D9-7F48B792A54B}"/>
    <hyperlink ref="H122" r:id="rId86" display="https://www.niagarahealth.on.ca/files/BoardOpenMinutes24092024FINAL.pdf" xr:uid="{8505CE3E-7858-4B72-BB02-91FE6C2C807B}"/>
    <hyperlink ref="F124" r:id="rId87" xr:uid="{FD6D85B2-ECB1-459B-BDBA-B68B91BAD501}"/>
    <hyperlink ref="H124" r:id="rId88" display="https://slmhc.on.ca/wp-content/uploads/2026/03/Board-of-Directors-Meeting-Minutes-February-5-2026.pdf" xr:uid="{84ED67C4-639C-4E6B-A090-AF2BCB245E84}"/>
    <hyperlink ref="D126" r:id="rId89" xr:uid="{37E63E13-411F-4789-BBC4-D4766DDDAC54}"/>
    <hyperlink ref="F126" r:id="rId90" xr:uid="{360A66D7-1110-4F95-A855-71B06E8A6194}"/>
    <hyperlink ref="H126" r:id="rId91" display="https://bluewaterhealth.ca/wp-content/uploads/2025/10/Minutes-2024-11-27.pdf" xr:uid="{C21D9EEF-6EF5-4392-88A5-8AF0CB6A1E33}"/>
    <hyperlink ref="H127" r:id="rId92" display="https://www.cornwallhospital.ca/uploads/Common/2026-01-29-Board Highlights-EN.pdf" xr:uid="{30FA0234-1CC8-4B86-9CE8-400A2481454C}"/>
    <hyperlink ref="F127" r:id="rId93" xr:uid="{7684D6B2-8422-4C9C-9762-6E68E77289A8}"/>
    <hyperlink ref="F128" r:id="rId94" xr:uid="{DF14E537-2F7B-48B8-A091-BF62DD248DD1}"/>
    <hyperlink ref="H128" r:id="rId95" display="https://www.mahc.ca/media/jqppk2sj/board-minutes_march-2626.pdf" xr:uid="{0307BD95-2656-4F3E-B316-1C354111E3B2}"/>
    <hyperlink ref="F129" r:id="rId96" xr:uid="{D612D2FF-D5C3-4CA2-8D6D-027CD4EDC90F}"/>
    <hyperlink ref="H129" r:id="rId97" display="C:\Users\lewis\Downloads\Board Minutes November 10 2021.pdf" xr:uid="{736391C8-8445-459D-A868-50981F8F7BF9}"/>
    <hyperlink ref="D133" r:id="rId98" xr:uid="{30C560FE-6FEE-41DF-AED1-CFE45BE82D1C}"/>
    <hyperlink ref="H134" r:id="rId99" display="https://www.sinaihealth.ca/media/26056/download?inline" xr:uid="{D4A123A3-3B4E-4685-8635-096A93B0AB20}"/>
    <hyperlink ref="H135" r:id="rId100" display="https://www.shn.ca/wp-content/uploads/SHN-Board-MINUTES-April_1_2021.pdf" xr:uid="{347E41D9-821E-4462-B33A-2D2B5FDD4BD4}"/>
    <hyperlink ref="F135" r:id="rId101" xr:uid="{F8572106-C6FF-445D-8032-748280B76284}"/>
    <hyperlink ref="F139" r:id="rId102" location="accordion-25-1" xr:uid="{C93CD9FD-6494-400A-AD5C-50508E2AC3DC}"/>
    <hyperlink ref="H139" r:id="rId103" display="https://www.hpha.ca/uploads/board/Board Minutes/2026 02 05 BOD_Mins.pdf" xr:uid="{E79D8B2D-1637-42AA-8F3D-679D8275EDC6}"/>
    <hyperlink ref="H94" r:id="rId104" xr:uid="{498F4CF3-BAC8-4085-8310-372C8EDA3539}"/>
    <hyperlink ref="H63" r:id="rId105" display="https://providencecare.ca/wp-content/uploads/2025/11/2025-09-23-Board-OPEN-Minutes-APPROVED-2025-10-28.pdf" xr:uid="{3F5F7D1F-B2CE-42DE-8C06-F0DE27B07408}"/>
    <hyperlink ref="D53" r:id="rId106" xr:uid="{8B21F2CA-FF4D-40E4-9BC6-611E6BB8A3CC}"/>
    <hyperlink ref="F53" r:id="rId107" xr:uid="{855C7FAA-364B-45F2-86EF-281A34B62B52}"/>
    <hyperlink ref="F37" r:id="rId108" xr:uid="{C80ECEF7-6BDD-47AC-A317-9BE4C8623B9A}"/>
    <hyperlink ref="F30" r:id="rId109" location="elementor-toc__heading-anchor-1" xr:uid="{544C487A-9442-47CA-A997-52FC9D7FA557}"/>
  </hyperlinks>
  <pageMargins left="0.75" right="0.75" top="1" bottom="1" header="0.5" footer="0.5"/>
  <pageSetup orientation="portrait" r:id="rId1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2" customWidth="1"/>
    <col min="2" max="2" width="80" customWidth="1"/>
  </cols>
  <sheetData>
    <row r="1" spans="1:2" ht="15.5" x14ac:dyDescent="0.35">
      <c r="A1" s="5" t="s">
        <v>69</v>
      </c>
    </row>
    <row r="3" spans="1:2" x14ac:dyDescent="0.35">
      <c r="A3" s="6" t="s">
        <v>70</v>
      </c>
      <c r="B3" s="7" t="s">
        <v>71</v>
      </c>
    </row>
    <row r="4" spans="1:2" x14ac:dyDescent="0.35">
      <c r="A4" s="6" t="s">
        <v>72</v>
      </c>
      <c r="B4" s="7" t="s">
        <v>73</v>
      </c>
    </row>
    <row r="5" spans="1:2" x14ac:dyDescent="0.35">
      <c r="A5" s="6" t="s">
        <v>6</v>
      </c>
      <c r="B5" s="7" t="s">
        <v>74</v>
      </c>
    </row>
    <row r="6" spans="1:2" x14ac:dyDescent="0.35">
      <c r="A6" s="6" t="s">
        <v>75</v>
      </c>
      <c r="B6" s="7" t="s">
        <v>76</v>
      </c>
    </row>
    <row r="7" spans="1:2" x14ac:dyDescent="0.35">
      <c r="A7" s="6" t="s">
        <v>77</v>
      </c>
      <c r="B7" s="7" t="s">
        <v>78</v>
      </c>
    </row>
    <row r="8" spans="1:2" x14ac:dyDescent="0.35">
      <c r="A8" s="6" t="s">
        <v>79</v>
      </c>
      <c r="B8" s="7" t="s">
        <v>80</v>
      </c>
    </row>
    <row r="9" spans="1:2" x14ac:dyDescent="0.35">
      <c r="A9" s="6" t="s">
        <v>81</v>
      </c>
      <c r="B9" s="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E24-810A-4816-91E2-8AB9F5E1C209}">
  <dimension ref="A3:E4"/>
  <sheetViews>
    <sheetView workbookViewId="0">
      <selection activeCell="D4" sqref="D4"/>
    </sheetView>
  </sheetViews>
  <sheetFormatPr defaultRowHeight="14.5" x14ac:dyDescent="0.35"/>
  <cols>
    <col min="1" max="1" width="10" bestFit="1" customWidth="1"/>
  </cols>
  <sheetData>
    <row r="3" spans="1:5" x14ac:dyDescent="0.35">
      <c r="A3" s="9">
        <v>46173</v>
      </c>
      <c r="B3">
        <v>124</v>
      </c>
      <c r="C3">
        <v>87</v>
      </c>
      <c r="D3">
        <v>79</v>
      </c>
      <c r="E3" t="s">
        <v>159</v>
      </c>
    </row>
    <row r="4" spans="1:5" x14ac:dyDescent="0.35">
      <c r="A4" s="9">
        <v>46174</v>
      </c>
      <c r="B4">
        <v>120</v>
      </c>
      <c r="C4">
        <v>82</v>
      </c>
      <c r="D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 Minutes Reconnaissance</vt:lpstr>
      <vt:lpstr>Legend</vt:lpstr>
      <vt:lpstr>bplog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2026-05-30T14:39:51Z</dcterms:created>
  <dcterms:modified xsi:type="dcterms:W3CDTF">2026-06-06T18:22:28Z</dcterms:modified>
</cp:coreProperties>
</file>